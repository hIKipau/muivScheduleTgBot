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SERVERFILE2\df\umo\Расписание\2025-26 уч.г\Осенний семестр\Колледж\Расписание\"/>
    </mc:Choice>
  </mc:AlternateContent>
  <bookViews>
    <workbookView xWindow="0" yWindow="0" windowWidth="28800" windowHeight="11535" tabRatio="609" activeTab="4"/>
  </bookViews>
  <sheets>
    <sheet name="4к 9кл, 3к 11кл" sheetId="1" r:id="rId1"/>
    <sheet name="3к 9кл, 2к 11кл" sheetId="2" r:id="rId2"/>
    <sheet name="2к 9кл, 1к 11 кл" sheetId="3" r:id="rId3"/>
    <sheet name="1к 11кл" sheetId="4" r:id="rId4"/>
    <sheet name="1к 9кл" sheetId="5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1" i="5" l="1"/>
  <c r="A31" i="5"/>
  <c r="V26" i="5"/>
  <c r="A26" i="5"/>
  <c r="V21" i="5"/>
  <c r="A21" i="5"/>
  <c r="V16" i="5"/>
  <c r="A16" i="5"/>
  <c r="V11" i="5"/>
  <c r="A11" i="5"/>
  <c r="V6" i="5"/>
  <c r="A6" i="5"/>
  <c r="D5" i="5"/>
  <c r="O31" i="4"/>
  <c r="A31" i="4"/>
  <c r="O26" i="4"/>
  <c r="A26" i="4"/>
  <c r="O21" i="4"/>
  <c r="A21" i="4"/>
  <c r="O16" i="4"/>
  <c r="A16" i="4"/>
  <c r="O11" i="4"/>
  <c r="A11" i="4"/>
  <c r="O6" i="4"/>
  <c r="A6" i="4"/>
  <c r="D5" i="4"/>
  <c r="O31" i="3"/>
  <c r="A31" i="3"/>
  <c r="O26" i="3"/>
  <c r="A26" i="3"/>
  <c r="O21" i="3"/>
  <c r="A21" i="3"/>
  <c r="O16" i="3"/>
  <c r="A16" i="3"/>
  <c r="O11" i="3"/>
  <c r="A11" i="3"/>
  <c r="O6" i="3"/>
  <c r="A6" i="3"/>
  <c r="D5" i="3"/>
  <c r="S31" i="2"/>
  <c r="A31" i="2"/>
  <c r="S26" i="2"/>
  <c r="A26" i="2"/>
  <c r="S21" i="2"/>
  <c r="A21" i="2"/>
  <c r="S16" i="2"/>
  <c r="A16" i="2"/>
  <c r="S11" i="2"/>
  <c r="A11" i="2"/>
  <c r="S6" i="2"/>
  <c r="A6" i="2"/>
  <c r="D5" i="2"/>
  <c r="I31" i="1"/>
  <c r="I26" i="1"/>
  <c r="I21" i="1"/>
  <c r="I16" i="1"/>
  <c r="I11" i="1"/>
  <c r="I6" i="1"/>
</calcChain>
</file>

<file path=xl/sharedStrings.xml><?xml version="1.0" encoding="utf-8"?>
<sst xmlns="http://schemas.openxmlformats.org/spreadsheetml/2006/main" count="999" uniqueCount="415">
  <si>
    <t>День недели</t>
  </si>
  <si>
    <t>Время</t>
  </si>
  <si>
    <t>Пара</t>
  </si>
  <si>
    <t>ИСП/П-22-09</t>
  </si>
  <si>
    <t>ИСП/П-23-11</t>
  </si>
  <si>
    <t>ИСП/Р-22-09
ИСП/Р-23-11</t>
  </si>
  <si>
    <t>РЕК-22-09
РЕК-23-11</t>
  </si>
  <si>
    <t>ДО-23-11</t>
  </si>
  <si>
    <t>Информационные системы и программирование [09.02.07] Программист</t>
  </si>
  <si>
    <t>Информационные системы и программирование [09.02.07] Разработчик веб и мультимедийных приложений</t>
  </si>
  <si>
    <t>Реклама [42.02.01]</t>
  </si>
  <si>
    <t>Дошкольное образование [44.02.01]</t>
  </si>
  <si>
    <t>КБо 111п-22</t>
  </si>
  <si>
    <t>КБсп 111п-23</t>
  </si>
  <si>
    <t>КБо 111р-22
КБсп 111р-23</t>
  </si>
  <si>
    <t>КБо 141-22
КБо 142-22
КБсп 141-23</t>
  </si>
  <si>
    <t>КБсп 171-23</t>
  </si>
  <si>
    <t>17 неделя</t>
  </si>
  <si>
    <t>Понедельник 22.12.2025</t>
  </si>
  <si>
    <t>8:20-09:50</t>
  </si>
  <si>
    <t>Поддержка и тестирование программных модулей
Сулейманов И.И.
КОНСУЛЬТАЦИЯ
ауд. 108 ГК</t>
  </si>
  <si>
    <t>10:00-11:30</t>
  </si>
  <si>
    <t>12:05-13:35</t>
  </si>
  <si>
    <t>13:45-15:15</t>
  </si>
  <si>
    <t>Разработка программных модулей
Чагиров А.О.
КОНСУЛЬТАЦИЯ
ауд. 525 ГК</t>
  </si>
  <si>
    <t>Поддержка и тестирование программных модулей
Сулейманов И.И.
ауд. 108 ГК</t>
  </si>
  <si>
    <t>15:25-16:55</t>
  </si>
  <si>
    <t>Вторник 23.12.2025</t>
  </si>
  <si>
    <t>Системное программирование
Шамова А.В.
ауд. 521 ГК</t>
  </si>
  <si>
    <t>Системное программирование
Шамова А.В.
ЗАЧЕТ С ОЦЕНКОЙ
ауд. 521 ГК</t>
  </si>
  <si>
    <t>Среда 24.12.2025</t>
  </si>
  <si>
    <t>Четверг 25.12.2025</t>
  </si>
  <si>
    <t>Разработка программных модулей
Чагиров А.О.
ауд. 525 ГК</t>
  </si>
  <si>
    <t>Проектирование и разработка веб-приложений
Соломин М.С.
ауд. 531 ГК</t>
  </si>
  <si>
    <t>Пятница 26.12.2025</t>
  </si>
  <si>
    <t>Суббота 27.12.2025</t>
  </si>
  <si>
    <t>БАД-24-11</t>
  </si>
  <si>
    <t>ТД-24-11</t>
  </si>
  <si>
    <t>ФИН-23-09
ФИН-24-11</t>
  </si>
  <si>
    <t>КОМ-23-09</t>
  </si>
  <si>
    <t>ОДЛ-23-09
ОДЛ-24-11</t>
  </si>
  <si>
    <t>ЮР/со-24-11</t>
  </si>
  <si>
    <t>ПСО-23-09.1</t>
  </si>
  <si>
    <t>ПСО-23-09.2</t>
  </si>
  <si>
    <t>РЕК-24-11</t>
  </si>
  <si>
    <t>РЕК-23-09</t>
  </si>
  <si>
    <t>ДИЗ-24-11</t>
  </si>
  <si>
    <t>ИСП/р-23-09
ИСП/р-24-11</t>
  </si>
  <si>
    <t>ИСП/п-23-09.1</t>
  </si>
  <si>
    <t>ИСП/п-23-09.2
ИСП/п-24-11</t>
  </si>
  <si>
    <t>ФК-24-11</t>
  </si>
  <si>
    <t>Банковское дело [38.02.07]</t>
  </si>
  <si>
    <t>Торговое дело [38.02.08] Базовая</t>
  </si>
  <si>
    <t>Финансы [38.02.06]</t>
  </si>
  <si>
    <t>Коммерция (по отраслям) [38.02.04]</t>
  </si>
  <si>
    <t>Операционная деятельность в логистике [38.02.03]</t>
  </si>
  <si>
    <t>Юриспруденция [40.02.04] Базовая</t>
  </si>
  <si>
    <t>Право и организация социального обеспечения [40.02.01]</t>
  </si>
  <si>
    <t>Дизайн (по отраслям) [54.02.01] Базовая</t>
  </si>
  <si>
    <t>Физическая культура [49.02.01] Базовая</t>
  </si>
  <si>
    <t>КБсп 41-24</t>
  </si>
  <si>
    <t>КБсп 211-24</t>
  </si>
  <si>
    <t>КБо 21-23
КБсп 21-24</t>
  </si>
  <si>
    <t>КБо 61-23</t>
  </si>
  <si>
    <t>КБо 121-23
КБсп 121-24</t>
  </si>
  <si>
    <t>КБсп 231-24</t>
  </si>
  <si>
    <t>КБо 11-23</t>
  </si>
  <si>
    <t>КБо 12-23</t>
  </si>
  <si>
    <t>КБсп 141-24</t>
  </si>
  <si>
    <t>КБо 141-23</t>
  </si>
  <si>
    <t>КБсп 181-24</t>
  </si>
  <si>
    <t>КБо 111р-23
КБсп 111р-24</t>
  </si>
  <si>
    <t>КБо 111п-23</t>
  </si>
  <si>
    <t>КБо 112п-23
КБсп 111п-24</t>
  </si>
  <si>
    <t>КБсп 221-24</t>
  </si>
  <si>
    <t>Гражданское право
Рянжина Ю.А.
ЭКЗАМЕН
ауд. 108</t>
  </si>
  <si>
    <t>Физическая культура/Адаптивная физическая культура
Наташкин С. А.
ЗАЧЕТ С ОЦЕНКОЙ
стадион "Торпедо"</t>
  </si>
  <si>
    <t>Основы предпринимательской деятельности
Репина О.В.
ЗАЧЕТ С ОЦЕНКОЙ
ауд. 308</t>
  </si>
  <si>
    <t>Менеджмент в профессиональной деятельности
Гужов В.В.
ЭКЗАМЕН
ауд. 117 ГК</t>
  </si>
  <si>
    <t>Экономика отрасли
Митерова Е.В.
ЭКЗАМЕН
ауд. 105</t>
  </si>
  <si>
    <t>Основы проектирования баз данных
Сулейманов И.И.
ЭКЗАМЕН
ауд. 108 ГК</t>
  </si>
  <si>
    <t>Трудовое право
Виноградов Н.В.
ауд. 204
ЭКЗАМЕН</t>
  </si>
  <si>
    <t>Экономика отрасли
ЭКЗАМЕН
Митерова Е.В.
ауд. 105</t>
  </si>
  <si>
    <t>Производственная практика (ПМ.01)
ЗАЧЕТ С.О.</t>
  </si>
  <si>
    <t>Производственная практика (ПМ.02)
ЗАЧЕТ С.О.</t>
  </si>
  <si>
    <t>Производственная практика (по профилю специальности) (ПМ.01)
ЗАЧЕТ С.О.</t>
  </si>
  <si>
    <t>Производственная практика (по профилю специальности) (ПМ.03)
ЗАЧЕТ С.О.</t>
  </si>
  <si>
    <t>Производственная практика (ПМ.03)
ЗАЧЕТ С.О.</t>
  </si>
  <si>
    <t>Производственная практика (ПМ.04)
ЗАЧЕТ С.О.</t>
  </si>
  <si>
    <t>БАД-24-09
БАД-25-11</t>
  </si>
  <si>
    <t>ФИН-24-09</t>
  </si>
  <si>
    <t>БУХ-24-09</t>
  </si>
  <si>
    <t>КСК-24-09
КСК-25-11</t>
  </si>
  <si>
    <t>ИСП/П-24-09</t>
  </si>
  <si>
    <t>ИСП/Р-24-09</t>
  </si>
  <si>
    <t>ТД-24-09</t>
  </si>
  <si>
    <t>ОДЛ-24-09</t>
  </si>
  <si>
    <t>ЮР/со-24-09
ЮР/со-25-11</t>
  </si>
  <si>
    <t>ЮР/са-24-09
ЮР/са-25-11</t>
  </si>
  <si>
    <t>РЕК-24-09</t>
  </si>
  <si>
    <t xml:space="preserve">
Банковское дело [38.02.07] Базовая</t>
  </si>
  <si>
    <t>Экономика и бухгалтерский учет (по отраслям) [38.02.01] Базовая</t>
  </si>
  <si>
    <t>Компьютерные системы и комплексы [09.02.01] Базовая</t>
  </si>
  <si>
    <t>Операционная деятельность в логистике [38.02.03] Базовая</t>
  </si>
  <si>
    <t>Реклама [42.02.01] Базовая</t>
  </si>
  <si>
    <t>КБо 41-24
к/о/к БАД 25-11</t>
  </si>
  <si>
    <t>КБо 21-24</t>
  </si>
  <si>
    <t>КБо 51-24</t>
  </si>
  <si>
    <t>КБо 191-24
к/о/к КСК 25-11</t>
  </si>
  <si>
    <t>КБо 111п-24</t>
  </si>
  <si>
    <t>КБо 111р-24</t>
  </si>
  <si>
    <t>КБо 211-24</t>
  </si>
  <si>
    <t>КБо 121-24</t>
  </si>
  <si>
    <t>КБо 231со-24
к/о/к ЮР/со 25-11</t>
  </si>
  <si>
    <t>КБо 232са-24
к/о/к ЮР/са 25-11</t>
  </si>
  <si>
    <t>КБо 141-24</t>
  </si>
  <si>
    <t>Информационные технологии в профессиональной деятельности/Адаптивные информационные технологии в профессиональной деятельности
Шамова А.В.
ЭКЗАМЕН
ауд. 521 ГК</t>
  </si>
  <si>
    <t>Информационные технологии/Адаптивные информационные технологии
Туркин Д.В.
ЭКЗАМЕН
ауд. 109 ГК</t>
  </si>
  <si>
    <t>Операционные системы и среды
Сулейманов И.И.
КОНСУЛЬТАЦИЯ
ауд. 108 ГК</t>
  </si>
  <si>
    <t>Иностранный язык в профессиональной деятельности
Ялышева А.Г.
ЗАЧЕТ С ОЦЕНКОЙ
ауд. 110</t>
  </si>
  <si>
    <t>История России
Гоголев Н.Б.
ауд. 201</t>
  </si>
  <si>
    <t>Русский язык и культура речи
Гарманова А.Ю.
ЗАЧЕТ С ОЦЕНКОЙ
ауд. 104</t>
  </si>
  <si>
    <t>Элементы высшей математики
Абрамова Т.В.
ЭКЗАМЕН</t>
  </si>
  <si>
    <t>Операционные системы и среды
Сулейманов И.И.
ЭКЗАМЕН
ауд. 108 ГК</t>
  </si>
  <si>
    <t>Организация торгово-сбытовой деятельности на внутреннем и внешнем рынках
Репина О.В.
ЭКЗАМЕН
ауд. 208</t>
  </si>
  <si>
    <t>Безопасность жизнедеятельности
Гамалей Е.Ю.
ЗАЧЕТ С ОЦЕНКОЙ
ауд. 119 ГК</t>
  </si>
  <si>
    <t>Физическая культура
Беспелюхин А.И.
стадион "Торпедо"
КОНТРОЛЬНАЯ РАБОТА</t>
  </si>
  <si>
    <t>Русский язык и культура речи
Гарманова А.Ю.
ауд. 104</t>
  </si>
  <si>
    <t>История
Григорян В.Д.
ЭКЗАМЕН
ауд. 312</t>
  </si>
  <si>
    <t>Основы философии
Александрова О.А.
ЭКЗАМЕН
ауд. 314</t>
  </si>
  <si>
    <t>Экономика и основы анализа финансово-хозяйственной деятельности торговой организации
Гужов В.В.
ЭКЗАМЕН
ауд. 117 ГК</t>
  </si>
  <si>
    <t>Элементы высшей математики
Кирилаева М.А.
ЭКЗАМЕН
ауд. 206</t>
  </si>
  <si>
    <t>Физическая культура
Наташкин С.А.
ЗАЧЕТ С ОЦЕНКОЙ
спорт.зал</t>
  </si>
  <si>
    <t>История России
Гоголев Н.Б.
ЗАЧЕТ С ОЦЕНКОЙ
ауд. 201</t>
  </si>
  <si>
    <t>ФИН-25-11</t>
  </si>
  <si>
    <t>БУХ-25-11</t>
  </si>
  <si>
    <t>ТД-25-11</t>
  </si>
  <si>
    <t>ОДЛ-25-11</t>
  </si>
  <si>
    <t>ОИБАС-25-11</t>
  </si>
  <si>
    <t>ИСП/П-25-11</t>
  </si>
  <si>
    <t>ИСП/Р-25-11</t>
  </si>
  <si>
    <t>РЕК-25-11</t>
  </si>
  <si>
    <t>ДИЗ-25-11</t>
  </si>
  <si>
    <t>ФК-25-11</t>
  </si>
  <si>
    <t>ПВНК-25-11</t>
  </si>
  <si>
    <t>Обеспечение информационной безопасности автоматизированных систем [10.02.05] Базовая</t>
  </si>
  <si>
    <t>Преподавание в начальных классах [44.02.02] Базовая</t>
  </si>
  <si>
    <t>к/о/к ФИН 25-11</t>
  </si>
  <si>
    <t>к/о/к БУХ 25-11</t>
  </si>
  <si>
    <t>к/о/к ТД 25-11</t>
  </si>
  <si>
    <t>к/о/к ОДЛ 25-11</t>
  </si>
  <si>
    <t>к/о/к ОИБАС 25-11</t>
  </si>
  <si>
    <t>к/о/к ИСП/П 25-11</t>
  </si>
  <si>
    <t>к/о/к ИСП/Р 25-11</t>
  </si>
  <si>
    <t>к/о/к РЕК 25-11</t>
  </si>
  <si>
    <t>к/о/к ДИЗ 25-11</t>
  </si>
  <si>
    <t>к/о/к ФК 25-11</t>
  </si>
  <si>
    <t>к/о/к ПВНК 25-11</t>
  </si>
  <si>
    <t>Информационные технологии в профессиональной деятельности
Туркин Д.В.
КОНСУЛЬТАЦИЯ
ауд. 109 ГК</t>
  </si>
  <si>
    <t>Выполнение работ по профессии 16199 Оператор электронно-вычислительных и вычислительных маши
Шамова А.В.
ЗАЧЕТ С ОЦЕНКОЙ
ауд. 521 ГК</t>
  </si>
  <si>
    <t>Финансы, денежное обращение и креди
Гужов В.В.
ЗАЧЕТ С ОЦЕНКОЙ
ауд. 117 ГК</t>
  </si>
  <si>
    <t>Базовые и новые виды физкультурно-спортивной деятельности: туризм
Степаненко Ю.В.
КОНСУЛЬТАЦИЯ
ауд. 307</t>
  </si>
  <si>
    <t>Информатика
Туркин Д.В.
КОНСУЛЬТАЦИЯ
ауд. 109 ГК</t>
  </si>
  <si>
    <t>История
Григорян В.Д.
ЗАЧЕТ С ОЦЕНКОЙ
ауд. 312</t>
  </si>
  <si>
    <t>Прикладные компьютерные программы в профессиональной деятельности
Шамова А.В.
ауд. 521 ГК</t>
  </si>
  <si>
    <t>Основы философии
Александрова О.А.
ауд. 314</t>
  </si>
  <si>
    <t>Основы логистической деятельности
Верилов А.А.
ЭКЗАМЕН
ауд. 303</t>
  </si>
  <si>
    <t>Базовые и новые виды физкультурно-спортивной деятельности: спортивные игры
Заборских А.Э.
ЭКЗАМЕН
ауд. 307</t>
  </si>
  <si>
    <t>Математика
Браткова Н.В.
ауд. 206</t>
  </si>
  <si>
    <t>Математика
Браткова Н.В.
ЗАЧЕТ С ОЦЕНКОЙ
ауд. 206</t>
  </si>
  <si>
    <t>БАД-25-09</t>
  </si>
  <si>
    <t>БУХ-25-09</t>
  </si>
  <si>
    <t>ФИН-25-09</t>
  </si>
  <si>
    <t>ИСП/П-25-09.1</t>
  </si>
  <si>
    <t>ИСП/П-25-09.2</t>
  </si>
  <si>
    <t>ИСП/Р-25-09</t>
  </si>
  <si>
    <t>КСК-25-09</t>
  </si>
  <si>
    <t>ТД-25-09.1</t>
  </si>
  <si>
    <t>ТД-25-09.2</t>
  </si>
  <si>
    <t>ОДЛ-25-09.1</t>
  </si>
  <si>
    <t>ОДЛ-25-09.2</t>
  </si>
  <si>
    <t>ЮР/са-25-09.1</t>
  </si>
  <si>
    <t>ЮР/са-25-09.2</t>
  </si>
  <si>
    <t>ЮР/со-25-09</t>
  </si>
  <si>
    <t>РЕК-25-09.1</t>
  </si>
  <si>
    <t>РЕК-25-09.2</t>
  </si>
  <si>
    <t>РЕК-25-09.3</t>
  </si>
  <si>
    <t>ПВНК-25-09</t>
  </si>
  <si>
    <t>Банковское дело [38.02.07] Базовая</t>
  </si>
  <si>
    <t>Финансы [38.02.06] Базовая</t>
  </si>
  <si>
    <t>к/о/к БАД 25-09</t>
  </si>
  <si>
    <t>к/о/к БУХ 25-09</t>
  </si>
  <si>
    <t>к/о/к ФИН 25-09</t>
  </si>
  <si>
    <t>к/о/к ИСП/П 25-09.1</t>
  </si>
  <si>
    <t>к/о/к ИСП/П 25-09.2</t>
  </si>
  <si>
    <t>к/о/к ИСП/Р 25-09</t>
  </si>
  <si>
    <t>к/о/к КСК 25-09</t>
  </si>
  <si>
    <t>к/о/к ТД 25-09.1</t>
  </si>
  <si>
    <t>к/о/к ТД 25-09.2</t>
  </si>
  <si>
    <t>к/о/к ОДЛ 25-09</t>
  </si>
  <si>
    <t>к/о/к ОДЛ 25-09.2</t>
  </si>
  <si>
    <t>к/о/к ЮР/са 25-09</t>
  </si>
  <si>
    <t>к/о/к ЮР/са 25-09.2</t>
  </si>
  <si>
    <t>к/о/к ЮР/со 25-09</t>
  </si>
  <si>
    <t>к/о/к РЕК 25-09.1</t>
  </si>
  <si>
    <t>к/о/к РЕК 25-09.2</t>
  </si>
  <si>
    <t>к/о/к РЕК 25-09.3</t>
  </si>
  <si>
    <t>к/о/к ПВНК 25-09</t>
  </si>
  <si>
    <t>Физика
Тимофеев О.А.
КОНТРОЛЬНАЯ РАБОТА
ауд. 308</t>
  </si>
  <si>
    <t>Информатика
Туркин Д.В.
ауд. 109 ГК</t>
  </si>
  <si>
    <t>Математика
Статник Н.А.
ауд. 102</t>
  </si>
  <si>
    <t>Информатика
Акишин М.В.
ауд. 210</t>
  </si>
  <si>
    <t>Основы безопасности и защиты Родины
Ильченко А.В.
ауд. 305</t>
  </si>
  <si>
    <t>Обществознание
Набиуллина Д.А.
ауд. 201</t>
  </si>
  <si>
    <t>Биология
Зюзюкин М.Ю.
КОНТРОЛЬНАЯ РАБОТА
ауд. 503 ГК</t>
  </si>
  <si>
    <t>Математика
Кирилаева М.А.
ауд. 206</t>
  </si>
  <si>
    <t>Информатика
Акишин М.В.
КОНТРОЛЬНАЯ РАБОТА
ауд. 210</t>
  </si>
  <si>
    <t>Математика
Козлова О.В.
ауд. 301</t>
  </si>
  <si>
    <t>Математика
Кирилаева М.А.</t>
  </si>
  <si>
    <t>Математика
Кирилаева М.А.
ауд. 207</t>
  </si>
  <si>
    <t>Основы безопасности и защиты Родины
Гамалей Е.Ю.
ауд. 119 ГК</t>
  </si>
  <si>
    <t>Основы безопасности и защиты Родины
Ильченко А.В.
ЗАЧЕТ С ОЦЕНКОЙ
ауд. 305</t>
  </si>
  <si>
    <t>Математика
Козлова О.В.
ауд. 302</t>
  </si>
  <si>
    <t>Химия
Зюзюкин М.Ю.
КОНТРОЛЬНАЯ РАБОТА
ауд. 503 ГК</t>
  </si>
  <si>
    <t>Обществознание
Набиуллина Д.А.
КОНТРОЛЬНАЯ РАБОТА
ауд. 201</t>
  </si>
  <si>
    <t>География
Зюзюкина Т.С.
ауд. 105</t>
  </si>
  <si>
    <t>Основы безопасности и защиты Родины
Гамалей Е.Ю.
ЗАЧЕТ С ОЦЕНКОЙ
ауд. 119 ГК</t>
  </si>
  <si>
    <t>Иностранный язык
Ялышева А.Г.
ауд. 110</t>
  </si>
  <si>
    <t>География
Зюзюкина Т.С.
КОНТРОЛЬНАЯ РАБОТА
ауд. 105</t>
  </si>
  <si>
    <t>Физическая культура (школа)
Заборских А.Э.
ЗАЧЕТ С ОЦЕНКОЙ
спорт.зал</t>
  </si>
  <si>
    <t>Обществознание
Набиуллина Д.А.
ауд. 524 ГК</t>
  </si>
  <si>
    <t>Обществознание
Гоголев Н.Б.
КОНТРОЛЬНАЯ РАБОТА</t>
  </si>
  <si>
    <t>Физическая культура (школа)
Магеррамов Д.Ш.
ЗАЧЕТ С ОЦЕНКОЙ
спорт. зал</t>
  </si>
  <si>
    <t>Математика
Браткова Н.В.
ауд. 208</t>
  </si>
  <si>
    <t>Русский язык
Шакая М.А.
ауд. 208</t>
  </si>
  <si>
    <t>Русский язык
Шакая М.А.
ауд. 118 ГК</t>
  </si>
  <si>
    <t>Иностранный язык (школа)
Кармалинская М.Д.
ауд. 310</t>
  </si>
  <si>
    <t>Математика
Кирилаева М.А.
ауд. 205</t>
  </si>
  <si>
    <t>Русский язык
Шакая М.А.
КОНТРОЛЬНАЯ РАБОТА
ауд. 208</t>
  </si>
  <si>
    <t>Русский язык
Шакая М.А.
КОНТРОЛЬНАЯ РАБОТА
ауд. 118 ГК</t>
  </si>
  <si>
    <t>Русский язык
Митерова Е.А.
КОНТРОЛЬНАЯ РАБОТА
ауд. 108</t>
  </si>
  <si>
    <t>Информатика
Акишин М.В.
КОНТРОЛЬНАЯ РАБОТА
ауд. 211</t>
  </si>
  <si>
    <t>Русский язык
Гарманова А.Ю.
КОНТРОЛЬНАЯ РАБОТА
ауд. 104</t>
  </si>
  <si>
    <t>Обществознание
Набиуллина Д.А.
КОНТРОЛЬНАЯ РАБОТА
ауд. 524 ГК</t>
  </si>
  <si>
    <t>Литература
Шакая М.А.
КОНТРОЛЬНАЯ РАБОТА
ауд. 204</t>
  </si>
  <si>
    <t>Литература
Шакая М.А.
КОНТРОЛЬНАЯ РАБОТА
ауд. 102</t>
  </si>
  <si>
    <t>Информатика
Камолова А.Н.
КОНТРОЛЬНАЯ РАБОТА
ауд. 118 ГК</t>
  </si>
  <si>
    <t>Математика
Козлова О.В.
ауд. 205</t>
  </si>
  <si>
    <t>Математика
Сугак С.Г.
ауд. 107</t>
  </si>
  <si>
    <t>История
Винокур К.В.
КОНТРОЛЬНАЯ РАБОТА
ауд. 431 ГК</t>
  </si>
  <si>
    <t>История (школа)
Григорян В. Д.
КОНТРОЛЬНАЯ РАБОТА</t>
  </si>
  <si>
    <t>Иностранный язык
Кармалинская М.Д.
КОНТРОЛЬНАЯ РАБОТА
ауд. 310</t>
  </si>
  <si>
    <t>Физическая культура (школа)
Наташкин С.А.
спорт.зал</t>
  </si>
  <si>
    <t>Русский язык
Гарманова А.Ю.
ауд. 104</t>
  </si>
  <si>
    <t>Математика
Кирилаева М.А.
КОНТРОЛЬНАЯ РАБОТА</t>
  </si>
  <si>
    <t>Химия
Зюзюкин М.Ю.
ауд. 503 ГК</t>
  </si>
  <si>
    <t>Литература
Абалуева С.Н.
ауд. 208</t>
  </si>
  <si>
    <t>Литература
Гарманова А.Ю.
ауд. 103</t>
  </si>
  <si>
    <t>Математика
Статник Н.А.
ауд. 204</t>
  </si>
  <si>
    <t>Иностранный язык (школа)
Кармалинская М.Д.
КОНТРОЛЬНАЯ РАБОТА
ауд. 310</t>
  </si>
  <si>
    <t>Математика
Сугак С.Г.
КОНТРОЛЬНАЯ РАБОТА
ауд. 107</t>
  </si>
  <si>
    <t>Литература
Гарманова А.Ю.
КОНТРОЛЬНАЯ РАБОТА
ауд. 104</t>
  </si>
  <si>
    <t>Литература
Митерова Е.А.
КОНТРОЛЬНАЯ РАБОТА
ауд. 108</t>
  </si>
  <si>
    <t>Физическая культура (школа)
Наташкин С. А.
ЗАЧЕТ С ОЦЕНКОЙ</t>
  </si>
  <si>
    <t>Обществознание
Гоголев Н.Б.
ауд. 307</t>
  </si>
  <si>
    <t>Физика
Тимофеев О.А.
КОНТРОЛЬНАЯ РАБОТА
ауд. 535 ГК</t>
  </si>
  <si>
    <t>Обществознание
Гоголев Н.Б.
КОНТРОЛЬНАЯ РАБОТА
ауд. 308</t>
  </si>
  <si>
    <t>Математика
Кирилаева М.А.
КОНТРОЛЬНАЯ РАБОТА
ауд. 208</t>
  </si>
  <si>
    <t>Литература
Гарманова А.Ю.
ауд. 104</t>
  </si>
  <si>
    <t>Литература
Гарманова А.Ю.
КОНТРОЛЬНАЯ РАБОТА
ауд. 105</t>
  </si>
  <si>
    <t>Математика
Козлова О.В.
КОНТРОЛЬНЯ РАБОТА
ауд. 204</t>
  </si>
  <si>
    <t>Обществознание
Гоголев Н.Б.
КОНТРОЛЬНАЯ РАБОТА
ауд. 102</t>
  </si>
  <si>
    <r>
      <t xml:space="preserve">Физика
Тимофеев О.А.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308</t>
    </r>
  </si>
  <si>
    <r>
      <t xml:space="preserve">Физическая культура (школа)
Заборских А.Э.
</t>
    </r>
    <r>
      <rPr>
        <sz val="14"/>
        <color rgb="FFFF0000"/>
        <rFont val="Calibri"/>
        <family val="2"/>
        <charset val="204"/>
        <scheme val="minor"/>
      </rPr>
      <t xml:space="preserve">ЗАЧЕТ С ОЦЕНКОЙ
</t>
    </r>
    <r>
      <rPr>
        <sz val="14"/>
        <rFont val="Calibri"/>
        <family val="2"/>
        <charset val="204"/>
        <scheme val="minor"/>
      </rPr>
      <t>спорт.зал</t>
    </r>
  </si>
  <si>
    <r>
      <t xml:space="preserve">Основы безопасности и защиты Родины
Гамалей Е.Ю.
</t>
    </r>
    <r>
      <rPr>
        <sz val="14"/>
        <color rgb="FFFF0000"/>
        <rFont val="Calibri"/>
        <family val="2"/>
        <charset val="204"/>
        <scheme val="minor"/>
      </rPr>
      <t>ЗАЧЕТ С ОЦЕНКОЙ</t>
    </r>
    <r>
      <rPr>
        <sz val="14"/>
        <rFont val="Calibri"/>
        <family val="2"/>
        <charset val="204"/>
        <scheme val="minor"/>
      </rPr>
      <t xml:space="preserve">
ауд. 119 ГК</t>
    </r>
  </si>
  <si>
    <r>
      <t xml:space="preserve">Иностранный язык (школа)
Кармалинская М.Д.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310</t>
    </r>
  </si>
  <si>
    <r>
      <t xml:space="preserve">Математика
Статник Н.А.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102</t>
    </r>
  </si>
  <si>
    <r>
      <t>Математика
Статник Н.А.</t>
    </r>
    <r>
      <rPr>
        <sz val="14"/>
        <color rgb="FFFF0000"/>
        <rFont val="Calibri"/>
        <family val="2"/>
        <charset val="204"/>
        <scheme val="minor"/>
      </rPr>
      <t xml:space="preserve">
КОНТРОЛЬНАЯ РАБОТА</t>
    </r>
    <r>
      <rPr>
        <sz val="14"/>
        <rFont val="Calibri"/>
        <family val="2"/>
        <charset val="204"/>
        <scheme val="minor"/>
      </rPr>
      <t xml:space="preserve">
ауд. 204</t>
    </r>
  </si>
  <si>
    <r>
      <t xml:space="preserve">Физическая культура/Адаптивная физическая культура
Заборских А.Э.
</t>
    </r>
    <r>
      <rPr>
        <sz val="20"/>
        <color rgb="FFFF0000"/>
        <rFont val="Calibri"/>
        <family val="2"/>
        <charset val="204"/>
        <scheme val="minor"/>
      </rPr>
      <t>ЗАЧЕТ С ОЦЕНКОЙ</t>
    </r>
  </si>
  <si>
    <t>Физическая культура/Адаптивная физическая культура
Магеррамов Д.Ш.
ЗАЧЕТ С ОЦЕНКОЙ
спорт. зал</t>
  </si>
  <si>
    <r>
      <t xml:space="preserve">Информационные технологии/Адаптивные информационные технологии
Туркин Д.В.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109 ГК</t>
    </r>
  </si>
  <si>
    <r>
      <t xml:space="preserve">Операционные системы
Соломин М.С.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531 ГК</t>
    </r>
  </si>
  <si>
    <r>
      <t xml:space="preserve">Физическая культура
Беспелюхин А.И.
</t>
    </r>
    <r>
      <rPr>
        <sz val="20"/>
        <color rgb="FFFF0000"/>
        <rFont val="Calibri"/>
        <family val="2"/>
        <charset val="204"/>
        <scheme val="minor"/>
      </rPr>
      <t>КОНТРОЛЬНАЯ РАБОТА</t>
    </r>
    <r>
      <rPr>
        <sz val="20"/>
        <rFont val="Calibri"/>
        <family val="2"/>
        <charset val="204"/>
        <scheme val="minor"/>
      </rPr>
      <t xml:space="preserve">
стадион "Торпедо"</t>
    </r>
  </si>
  <si>
    <r>
      <t xml:space="preserve">Физическая культура
Гордиенко О.Н.
</t>
    </r>
    <r>
      <rPr>
        <sz val="20"/>
        <color rgb="FFFF0000"/>
        <rFont val="Calibri"/>
        <family val="2"/>
        <charset val="204"/>
        <scheme val="minor"/>
      </rPr>
      <t>КОНТРОЛЬНАЯ РАБОТА</t>
    </r>
    <r>
      <rPr>
        <sz val="20"/>
        <rFont val="Calibri"/>
        <family val="2"/>
        <charset val="204"/>
        <scheme val="minor"/>
      </rPr>
      <t xml:space="preserve">
стадион "Торпедо"</t>
    </r>
  </si>
  <si>
    <r>
      <t xml:space="preserve">Возрастная анатомия, физиология и гигиена
Заборсикх А.Э.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307</t>
    </r>
  </si>
  <si>
    <r>
      <t xml:space="preserve">Базовые и новые виды физкультурно-спортивной деятельности: туризм
Степаненко Ю.В.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307</t>
    </r>
  </si>
  <si>
    <r>
      <t xml:space="preserve">Операционные системы и среды
Сулейманов И.И.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108 ГК</t>
    </r>
  </si>
  <si>
    <r>
      <t xml:space="preserve">Русский язык и культура речи
Гарманова А.Ю.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104</t>
    </r>
  </si>
  <si>
    <r>
      <t xml:space="preserve">Основы философии
Александрова О.А.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314</t>
    </r>
  </si>
  <si>
    <r>
      <t xml:space="preserve">Экономика организации
Блесткина О.В.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531 ГК</t>
    </r>
  </si>
  <si>
    <r>
      <t xml:space="preserve">Информационные технологии в профессиональной деятельности
Туркин Д.В.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109 ГК</t>
    </r>
  </si>
  <si>
    <r>
      <t xml:space="preserve">Прикладные компьютерные программы в профессиональной деятельности
Шамова А.В.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521 ГК</t>
    </r>
  </si>
  <si>
    <r>
      <t xml:space="preserve">Физическая культура
Беспелюхин А.И.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стадион "Торпедо"</t>
    </r>
  </si>
  <si>
    <r>
      <t xml:space="preserve">Информатика
Туркин Д.В.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109 ГК</t>
    </r>
  </si>
  <si>
    <r>
      <t xml:space="preserve">Физическая культура (школа)
Беспелюхин А.И.
</t>
    </r>
    <r>
      <rPr>
        <sz val="14"/>
        <color rgb="FFFF0000"/>
        <rFont val="Calibri"/>
        <family val="2"/>
        <charset val="204"/>
        <scheme val="minor"/>
      </rPr>
      <t>ЗАЧЕТ С ОЦЕНКОЙ</t>
    </r>
    <r>
      <rPr>
        <sz val="14"/>
        <color theme="1"/>
        <rFont val="Calibri"/>
        <family val="2"/>
        <charset val="204"/>
        <scheme val="minor"/>
      </rPr>
      <t xml:space="preserve">
спорт.зал</t>
    </r>
  </si>
  <si>
    <r>
      <t xml:space="preserve">Основы безопасности и защиты Родины
Ильченко А.В.
</t>
    </r>
    <r>
      <rPr>
        <sz val="14"/>
        <color rgb="FFFF0000"/>
        <rFont val="Calibri"/>
        <family val="2"/>
        <charset val="204"/>
        <scheme val="minor"/>
      </rPr>
      <t>ЗАЧЕТ С ОЦЕНКОЙ</t>
    </r>
    <r>
      <rPr>
        <sz val="14"/>
        <color theme="1"/>
        <rFont val="Calibri"/>
        <family val="2"/>
        <charset val="204"/>
        <scheme val="minor"/>
      </rPr>
      <t xml:space="preserve">
ауд. 305</t>
    </r>
  </si>
  <si>
    <t>Поддержка и тестирование программных модулей
Сулейманов И.И.
ЭКЗАМЕН
ауд. 108 ГК</t>
  </si>
  <si>
    <t>Разработка программных модулей
Чагиров А.О.
ЭКЗАМЕН
ауд. 525 ГК</t>
  </si>
  <si>
    <r>
      <t xml:space="preserve">Информатика
Туркин Д.В.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109 ГК</t>
    </r>
  </si>
  <si>
    <t>Операционные системы и среды
Соломин М.С.
КОНСУЛЬТАЦИЯ
ауд. 531 ГК</t>
  </si>
  <si>
    <t>Операционные системы и среды
Соломин М.С.
ЭКЗАМЕН
ауд. 531 ГК</t>
  </si>
  <si>
    <t>Математика
Статник Н.А.
ауд. 107</t>
  </si>
  <si>
    <r>
      <t xml:space="preserve">Математика
Статник Н.А.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107</t>
    </r>
  </si>
  <si>
    <r>
      <t xml:space="preserve">Физическая культура (школа)
Наташкин С.А.
</t>
    </r>
    <r>
      <rPr>
        <sz val="14"/>
        <color rgb="FFFF0000"/>
        <rFont val="Calibri"/>
        <family val="2"/>
        <charset val="204"/>
        <scheme val="minor"/>
      </rPr>
      <t xml:space="preserve">ЗАЧЕТ С ОЦЕНКОЙ </t>
    </r>
    <r>
      <rPr>
        <sz val="14"/>
        <rFont val="Calibri"/>
        <family val="2"/>
        <charset val="204"/>
        <scheme val="minor"/>
      </rPr>
      <t xml:space="preserve">
спорт.зал</t>
    </r>
  </si>
  <si>
    <r>
      <t xml:space="preserve">Иностранный язык
Кармалинская М.Д.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310</t>
    </r>
  </si>
  <si>
    <r>
      <t xml:space="preserve">Химия
Зюзюкин М.Ю.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503 ГК</t>
    </r>
  </si>
  <si>
    <r>
      <t xml:space="preserve">Физическая культура (школа)
Заборских А.Э.
</t>
    </r>
    <r>
      <rPr>
        <sz val="14"/>
        <color rgb="FFFF0000"/>
        <rFont val="Calibri"/>
        <family val="2"/>
        <charset val="204"/>
        <scheme val="minor"/>
      </rPr>
      <t>ЗАЧЕТ С ОЦЕНКОЙ</t>
    </r>
    <r>
      <rPr>
        <sz val="14"/>
        <rFont val="Calibri"/>
        <family val="2"/>
        <charset val="204"/>
        <scheme val="minor"/>
      </rPr>
      <t xml:space="preserve">
спорт.зал</t>
    </r>
  </si>
  <si>
    <r>
      <t xml:space="preserve">Информатика
Акишин М.В.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210</t>
    </r>
  </si>
  <si>
    <r>
      <t xml:space="preserve">История (школа)
Винокур К.В.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206</t>
    </r>
  </si>
  <si>
    <r>
      <t xml:space="preserve">Обществознание
Набиуллина Д. А.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321 ГК</t>
    </r>
  </si>
  <si>
    <r>
      <t xml:space="preserve">История (школа)
Гоголев Н.Б.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107</t>
    </r>
  </si>
  <si>
    <r>
      <t xml:space="preserve">Физическая культура (школа)
Магеррамов Д.Ш.
</t>
    </r>
    <r>
      <rPr>
        <sz val="14"/>
        <color rgb="FFFF0000"/>
        <rFont val="Calibri"/>
        <family val="2"/>
        <charset val="204"/>
        <scheme val="minor"/>
      </rPr>
      <t>ЗАЧЕТ С ОЦЕНКОЙ</t>
    </r>
    <r>
      <rPr>
        <sz val="14"/>
        <color theme="1"/>
        <rFont val="Calibri"/>
        <family val="2"/>
        <charset val="204"/>
        <scheme val="minor"/>
      </rPr>
      <t xml:space="preserve">
спорт. зал</t>
    </r>
  </si>
  <si>
    <r>
      <t xml:space="preserve">Информатика
Акишин М.В.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210</t>
    </r>
  </si>
  <si>
    <r>
      <t xml:space="preserve">Математика
Козлова О.В.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205</t>
    </r>
  </si>
  <si>
    <r>
      <t xml:space="preserve">География
Зюзюкина Т.С.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105</t>
    </r>
  </si>
  <si>
    <r>
      <t xml:space="preserve">Математика
Браткова Н.В.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208</t>
    </r>
  </si>
  <si>
    <t xml:space="preserve">Информатика
Камолова А.Н.
ауд. 118 ГК
</t>
  </si>
  <si>
    <t>Информатика
Камолова А.Н.
ауд. 118 ГК</t>
  </si>
  <si>
    <r>
      <t xml:space="preserve">Основы безопасности и защиты Родины
Гамалей Е.Ю.
</t>
    </r>
    <r>
      <rPr>
        <sz val="14"/>
        <color rgb="FFFF0000"/>
        <rFont val="Calibri"/>
        <family val="2"/>
        <charset val="204"/>
        <scheme val="minor"/>
      </rPr>
      <t xml:space="preserve">ЗАЧЕТ С ОЦЕНКОЙ
</t>
    </r>
    <r>
      <rPr>
        <sz val="14"/>
        <rFont val="Calibri"/>
        <family val="2"/>
        <charset val="204"/>
        <scheme val="minor"/>
      </rPr>
      <t>ауд. 119 ГК</t>
    </r>
  </si>
  <si>
    <r>
      <t xml:space="preserve">Производственная практика (по профилю специальности) (ПМ.02)
</t>
    </r>
    <r>
      <rPr>
        <sz val="12"/>
        <color rgb="FFFF0000"/>
        <rFont val="Calibri"/>
        <family val="2"/>
        <charset val="204"/>
        <scheme val="minor"/>
      </rPr>
      <t>ЗАЧЕТ С ОЦЕНКОЙ</t>
    </r>
  </si>
  <si>
    <r>
      <t xml:space="preserve">Производственная практика (ПМ.04)
</t>
    </r>
    <r>
      <rPr>
        <sz val="12"/>
        <color rgb="FFFF0000"/>
        <rFont val="Calibri"/>
        <family val="2"/>
        <charset val="204"/>
        <scheme val="minor"/>
      </rPr>
      <t>ЗАЧЕТ С ОЦЕНКОЙ</t>
    </r>
  </si>
  <si>
    <r>
      <t xml:space="preserve">Иностранный язык
Ялышева А.Г.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110</t>
    </r>
  </si>
  <si>
    <t>Выполнение дизайнерских проектов в материале
Любиченко А.А.
ЭКЗАМЕН
ауд. 531 ГК</t>
  </si>
  <si>
    <r>
      <t xml:space="preserve">История России
Гоголев Н.Б.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201</t>
    </r>
  </si>
  <si>
    <t>Статистика
Магомедова А.Б.
ауд. 204</t>
  </si>
  <si>
    <r>
      <t xml:space="preserve">Статистика
Магомедова А.Б.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204</t>
    </r>
  </si>
  <si>
    <t>Информационные технологии/Адаптивные информационные технологии
Абрамова Т.В.
ЭКЗАМЕН
ауд. 208</t>
  </si>
  <si>
    <t>Основы логистической деятельности
Верилов А.А.
КОНСУЛЬТАЦИЯ
ауд. 118 ГК</t>
  </si>
  <si>
    <t>Гражданское право
Рянжина Ю.А.
КОНСУЛЬТАЦИЯ
ауд. 108</t>
  </si>
  <si>
    <t>Бухгалтерский учет
Магомедова А.Б.
ЭКЗАМЕН
ауд. 204</t>
  </si>
  <si>
    <t>История России
Винокур К. В.
КОНСУЛЬТАЦИЯ
ауд. 105</t>
  </si>
  <si>
    <t>Статистика
Магомедова А.Б.
ЗАЧЕТ С ОЦЕНКОЙ
ауд. 204</t>
  </si>
  <si>
    <t>Основы бухгалтерского учета
Магомедова А.Б.
ауд. 204</t>
  </si>
  <si>
    <t>Основы бухгалтерского учета
Магомедова А.Б.
КОНСУЛЬТАЦИЯ
ауд. 204</t>
  </si>
  <si>
    <r>
      <t xml:space="preserve">История России
Винокур К.В.
</t>
    </r>
    <r>
      <rPr>
        <sz val="20"/>
        <color rgb="FFFF0000"/>
        <rFont val="Calibri"/>
        <family val="2"/>
        <charset val="204"/>
        <scheme val="minor"/>
      </rPr>
      <t>ЭКЗАМЕН</t>
    </r>
    <r>
      <rPr>
        <sz val="20"/>
        <rFont val="Calibri"/>
        <family val="2"/>
        <charset val="204"/>
        <scheme val="minor"/>
      </rPr>
      <t xml:space="preserve">
ауд. 105</t>
    </r>
  </si>
  <si>
    <r>
      <t xml:space="preserve">Иностранный язык в профессиональной деятельности
Макеев Д.С.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206</t>
    </r>
  </si>
  <si>
    <t>История (школа)
Гоголев Н.Б.
КОНТРОЛЬНАЯ РАБОТА
ауд. 201</t>
  </si>
  <si>
    <t>Математика
Кирилаева М.А.
ауд. 303</t>
  </si>
  <si>
    <t>Математика (школа)
Козлова О.В.
ауд. 312</t>
  </si>
  <si>
    <t>Математика (школа)
Козлова О.В.
ауд. 310</t>
  </si>
  <si>
    <t>Математика (школа)
Козлова О.В.
КОНТРОЛЬНАЯ РАБОТА
ауд. 310</t>
  </si>
  <si>
    <t>Литература
Абалуева С.Н.
КОНТРОЛЬНАЯ РАБОТА
ауд. 108</t>
  </si>
  <si>
    <t>Литература
Шакая М.А.
ауд. 208</t>
  </si>
  <si>
    <t>Иностранный язык
Кармалинская М. Д.
КОНТРОЛЬНАЯ РАБОТА
ауд. 310</t>
  </si>
  <si>
    <t>Обществознание
Набиуллина Д.А.
ауд. 310</t>
  </si>
  <si>
    <t>Обществознание
Набиуллина Д.А.
КОНТРОЛЬНАЯ РАБОТА
ауд. 308</t>
  </si>
  <si>
    <t>Обществознание
Набиуллина Д.А.
КОНТРОЛЬНАЯ РАБОТА
ауд. 314</t>
  </si>
  <si>
    <t>Иностранный язык
Ялышева А.Г.
КОНТРОЛЬНАЯ РАБОТА
ауд. 110</t>
  </si>
  <si>
    <t>Физика
Тимофеев О.А.
ауд. 303</t>
  </si>
  <si>
    <t>Разработка программных модулей
Чагиров А.О.
КОНСУЛЬТАЦИЯ
ауд. 524 ГК</t>
  </si>
  <si>
    <t>Разработка мобильных приложений
Чагиров А.О.
ауд. 524 ГК</t>
  </si>
  <si>
    <t xml:space="preserve">Разработка мобильных приложений
Чагиров А.О.
ЗАЧЕТ С ОЦЕНКОЙ
ауд. 521 ГК
</t>
  </si>
  <si>
    <t>Финансы организации
Блесткина О.В.
ЭКЗАМЕН
ауд. 107</t>
  </si>
  <si>
    <t>Основы предпринимательской деятельности
Блесткина О.В.
ЭКЗАМЕН
ауд. 105</t>
  </si>
  <si>
    <t>История
Винокур К.В.
ЭКЗАМЕН
ауд. 312</t>
  </si>
  <si>
    <t>История России
Винокур К. В.
ЭКЗАМЕН
ауд. 312</t>
  </si>
  <si>
    <t>Основы логистической деятельности
Верилов А.А.
ауд. 108</t>
  </si>
  <si>
    <t>Основы логистической деятельности
Верилов А.А.
КОНСУЛЬТАЦИЯ
ауд. 108</t>
  </si>
  <si>
    <t>Статистика
Магомедова А.Б
ЗАЧЕТ С ОЦЕНКОЙ
ауд. 204</t>
  </si>
  <si>
    <t>Живопись с основами цветоведения
Лебедева К. В.
ауд. 308</t>
  </si>
  <si>
    <t>Художественное проектирование рекламного продукта
Лебедева К. В.
ауд. 308</t>
  </si>
  <si>
    <t>Живопись с основами цветоведения
Лебедева К. В.
ЗАЧЕТ С ОЦЕНКОЙ
ауд. 308</t>
  </si>
  <si>
    <t>Основы конструкторско-технологического обеспечения дизайна
Лебедева К. В.
ЗАЧЕТ С ОЦЕНКОЙ
ауд. 308</t>
  </si>
  <si>
    <t>Материаловедение
Лебедева К. В.
ЗАЧЕТ С ОЦЕНКОЙ
ауд. 308</t>
  </si>
  <si>
    <r>
      <t xml:space="preserve">Художественное проектирование рекламного продукта
Лебедева К. В.
</t>
    </r>
    <r>
      <rPr>
        <sz val="18"/>
        <color rgb="FFFF0000"/>
        <rFont val="Calibri"/>
        <family val="2"/>
        <charset val="204"/>
        <scheme val="minor"/>
      </rPr>
      <t>КОНТРОЛЬНАЯ РАБОТА</t>
    </r>
    <r>
      <rPr>
        <sz val="18"/>
        <rFont val="Calibri"/>
        <family val="2"/>
        <charset val="204"/>
        <scheme val="minor"/>
      </rPr>
      <t xml:space="preserve">
ауд. 308</t>
    </r>
  </si>
  <si>
    <t>Обществознание
Набиуллина Д. А.
КОНТРОЛЬНАЯ РАБОТА
ауд. 108</t>
  </si>
  <si>
    <t>Организация торгово-сбытовой деятельности на внутреннем и внешнем рынках
Репина О.В.
ЭКЗАМЕН
ауд. 314</t>
  </si>
  <si>
    <t>Математика
Козлова О.В.
ауд. 110</t>
  </si>
  <si>
    <t>Русский язык
Шакая М.А.
КОНТРОЛЬНАЯ РАБОТА
ауд. 206</t>
  </si>
  <si>
    <t>Математика
Браткова Н.В.
ауд. 303</t>
  </si>
  <si>
    <t>Математика
Сугак С.Г.
ауд. 515 ГК</t>
  </si>
  <si>
    <t>Литература
Абалуева С.Н.
КОНТРОЛЬНАЯ РАБОТА
ауд. 305</t>
  </si>
  <si>
    <t>Математика
Кирилаева М.А.
ауд. 310</t>
  </si>
  <si>
    <t>Разработка программных модулей
Чагиров А.О.
КОНСУЛЬТАЦИЯ
ауд. 521 ГК</t>
  </si>
  <si>
    <t xml:space="preserve">Разработка мобильных приложений
Чагиров А.О.
ауд. 521 ГК
</t>
  </si>
  <si>
    <t>Основы логистической деятельности
Верилов А.А.
ЭКЗАМЕН
ауд. 118 ГК</t>
  </si>
  <si>
    <t>Основы бухгалтерского учета
Магомедова А.Б.
ЭКЗАМЕН
ауд. 321 ГК</t>
  </si>
  <si>
    <t>Экономика организации
Шевчук Е.А.
ЭКЗАМЕН
ауд. 206</t>
  </si>
  <si>
    <t>Элементы высшей математики
Булычев А. А
ЭКЗАМЕН
ауд. 201</t>
  </si>
  <si>
    <t>Иностранный язык в профессиональной деятельности
Макеев Д.С.
КОНТРОЛЬНАЯ РАБОТА
ауд. 206</t>
  </si>
  <si>
    <t>История России
Гоголев Н.Б.
ауд. 110</t>
  </si>
  <si>
    <t>Семейное право
Тофан А.В.
ауд. 521 ГК
ЭКЗАМЕН</t>
  </si>
  <si>
    <t>Математика
Козлова О.В.
ауд. 108</t>
  </si>
  <si>
    <r>
      <t xml:space="preserve">Анатомия и физиология человека
Гордиенко О. Н.
</t>
    </r>
    <r>
      <rPr>
        <sz val="20"/>
        <color rgb="FFFF0000"/>
        <rFont val="Calibri"/>
        <family val="2"/>
        <charset val="204"/>
        <scheme val="minor"/>
      </rPr>
      <t>ЗАЧЕТ С ОЦЕНКОЙ</t>
    </r>
    <r>
      <rPr>
        <sz val="20"/>
        <rFont val="Calibri"/>
        <family val="2"/>
        <charset val="204"/>
        <scheme val="minor"/>
      </rPr>
      <t xml:space="preserve">
ауд. 307</t>
    </r>
  </si>
  <si>
    <t xml:space="preserve">Математика
Кирилаева М.А.
ауд. 201
</t>
  </si>
  <si>
    <t xml:space="preserve">Математика
Кирилаева М.А.
КОНТРОЛЬНАЯ РАБОТА
ауд. 201
</t>
  </si>
  <si>
    <t>Обществознание
Гоголев Н. Б.
ауд. 110</t>
  </si>
  <si>
    <t>Обществознание
Гоголев Н. Б.
КОНТРОЛЬНАЯ РАБОТА
ауд. 110</t>
  </si>
  <si>
    <t>Обществознание
Гоголев Н.Б.
ауд. 110</t>
  </si>
  <si>
    <t>Матетматика
Егоров Е. Ф.
ЭКЗАМЕН
ауд. 104</t>
  </si>
  <si>
    <t>Математика
Сугак С.Г.
КОНТРОЛЬНАЯ РАБОТА
ауд. 515 ГК</t>
  </si>
  <si>
    <r>
      <t xml:space="preserve">Математика
Сугак С.Г.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515 ГК</t>
    </r>
  </si>
  <si>
    <t>Математика (школа)
Сугак С.Г.
ауд. 515 ГК</t>
  </si>
  <si>
    <t>Разработка программных модулей
Чагиров А.О.
ЭКЗАМЕН
ауд. 524 ГК</t>
  </si>
  <si>
    <t>История (школа)
Гоголев Н.Б.
ауд. 201</t>
  </si>
  <si>
    <r>
      <t xml:space="preserve">История (школа)
Гоголев Н.Б.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rFont val="Calibri"/>
        <family val="2"/>
        <charset val="204"/>
        <scheme val="minor"/>
      </rPr>
      <t xml:space="preserve">
ауд. 201</t>
    </r>
  </si>
  <si>
    <r>
      <t>История России
Гоголев Н.Б.</t>
    </r>
    <r>
      <rPr>
        <sz val="20"/>
        <color rgb="FFFF0000"/>
        <rFont val="Calibri"/>
        <family val="2"/>
        <charset val="204"/>
        <scheme val="minor"/>
      </rPr>
      <t xml:space="preserve">
ЗАЧЕТ С ОЦЕНКОЙ</t>
    </r>
    <r>
      <rPr>
        <sz val="20"/>
        <rFont val="Calibri"/>
        <family val="2"/>
        <charset val="204"/>
        <scheme val="minor"/>
      </rPr>
      <t xml:space="preserve">
ауд. 110</t>
    </r>
  </si>
  <si>
    <t>Прикладные компьютерные программы в профессиональной деятельности
Шамова А.В.
ЗАЧЕТ С ОЦЕНКОЙ
ауд. 521 ГК</t>
  </si>
  <si>
    <t>Конституционное право России
Рянжина Ю.А.
ауд. 503 ГК</t>
  </si>
  <si>
    <t>Русский язык и культура речи
Гарманова А. Ю.
ЗАЧЕТ С ОЦЕНКОЙ
ауд. 104</t>
  </si>
  <si>
    <t>Настройка и обеспечение функционирования программных средств компьютерных систем и комплексов
Шамов А. В.
ауд. 118 ГК</t>
  </si>
  <si>
    <t>Настройка и обеспечение функционирования программных средств компьютерных систем и комплексов
Шамов А. В.
ауд. 118 ГК
ЗАЧЕТ С ОЦЕНКОЙ</t>
  </si>
  <si>
    <t>История России
Винокур К.В.
ЗАЧЕТ С ОЦЕНКОЙ
ауд. 107</t>
  </si>
  <si>
    <t>Элементы высшей математики
Булычев А. А
ЭКЗАМЕН
ауд. 503 ГК</t>
  </si>
  <si>
    <t>История России
Григорян В. Д.
ауд. 312</t>
  </si>
  <si>
    <t>История России
Гоголев Н.Б.
ЭКЗАМЕН
ауд. 201</t>
  </si>
  <si>
    <t xml:space="preserve">История России
Григорян В. Д.
ЭКЗАМЕН
ауд. 312
</t>
  </si>
  <si>
    <t>Математика
Статник Н.А.
ауд. 105</t>
  </si>
  <si>
    <r>
      <t xml:space="preserve">Математика
Статник Н.А.
</t>
    </r>
    <r>
      <rPr>
        <sz val="14"/>
        <color rgb="FFFF0000"/>
        <rFont val="Calibri"/>
        <family val="2"/>
        <charset val="204"/>
        <scheme val="minor"/>
      </rPr>
      <t>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105</t>
    </r>
  </si>
  <si>
    <t>Системное программирование
Шамова А.В.
ауд. 521 ГК
ЗАЧЕТ С ОЦЕНКОЙ</t>
  </si>
  <si>
    <t>Разработка мобильных приложений
Чагиров А.О.
ауд. 531 ГК</t>
  </si>
  <si>
    <t>Разработка мобильных приложений
Чагиров А.О.
ЗАЧЕТ С ОЦЕНКОЙ
ауд. 531 ГК</t>
  </si>
  <si>
    <t>Правовое обеспечение профессиональной деятельности
Виноградов Н. В.
Ауд. 204
ЗАЧЕТ С ОЦЕНКОЙ</t>
  </si>
  <si>
    <t>Основы бухгалтерского учета
Протасова Л. В. 
Ауд. 208
ЭКЗАМЕН</t>
  </si>
  <si>
    <r>
      <t>География
Зюзюкина Т.С.</t>
    </r>
    <r>
      <rPr>
        <sz val="14"/>
        <color rgb="FFFF0000"/>
        <rFont val="Calibri"/>
        <family val="2"/>
        <charset val="204"/>
        <scheme val="minor"/>
      </rPr>
      <t xml:space="preserve">
КОНТРОЛЬНАЯ РАБОТА</t>
    </r>
    <r>
      <rPr>
        <sz val="14"/>
        <color theme="1"/>
        <rFont val="Calibri"/>
        <family val="2"/>
        <charset val="204"/>
        <scheme val="minor"/>
      </rPr>
      <t xml:space="preserve">
ауд. 104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</si>
</sst>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8"/>
      <color indexed="8"/>
      <name val="Tahoma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20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b/>
      <sz val="22"/>
      <name val="Calibri"/>
      <family val="2"/>
      <charset val="204"/>
      <scheme val="minor"/>
    </font>
    <font>
      <b/>
      <sz val="24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b/>
      <sz val="36"/>
      <name val="Calibri"/>
      <family val="2"/>
      <charset val="204"/>
      <scheme val="minor"/>
    </font>
    <font>
      <sz val="18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sz val="18"/>
      <color rgb="FFFF0000"/>
      <name val="Calibri"/>
      <family val="2"/>
      <charset val="204"/>
      <scheme val="minor"/>
    </font>
    <font>
      <sz val="20"/>
      <color rgb="FFFF0000"/>
      <name val="Calibri"/>
      <family val="2"/>
      <charset val="204"/>
      <scheme val="minor"/>
    </font>
    <font>
      <sz val="12"/>
      <color rgb="FFFF0000"/>
      <name val="Calibri"/>
      <family val="2"/>
      <charset val="204"/>
      <scheme val="minor"/>
    </font>
    <font>
      <sz val="14"/>
      <color rgb="FFFF0000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  <font>
      <sz val="24"/>
      <name val="Calibri"/>
      <family val="2"/>
      <charset val="204"/>
      <scheme val="minor"/>
    </font>
    <font>
      <sz val="28"/>
      <name val="Calibri"/>
      <family val="2"/>
      <charset val="204"/>
      <scheme val="minor"/>
    </font>
    <font>
      <sz val="22"/>
      <name val="Calibri"/>
      <family val="2"/>
      <charset val="204"/>
      <scheme val="minor"/>
    </font>
    <font>
      <sz val="26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370">
    <xf numFmtId="0" fontId="0" fillId="0" borderId="0" xfId="0"/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6" fillId="0" borderId="0" xfId="0" applyFont="1"/>
    <xf numFmtId="0" fontId="12" fillId="0" borderId="0" xfId="0" applyFont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3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90" wrapText="1"/>
    </xf>
    <xf numFmtId="0" fontId="13" fillId="0" borderId="2" xfId="0" applyFont="1" applyBorder="1" applyAlignment="1">
      <alignment horizontal="center" vertical="center" textRotation="255" wrapText="1"/>
    </xf>
    <xf numFmtId="0" fontId="13" fillId="0" borderId="8" xfId="0" applyFont="1" applyBorder="1" applyAlignment="1">
      <alignment horizontal="center" vertical="center" textRotation="90" wrapText="1"/>
    </xf>
    <xf numFmtId="0" fontId="13" fillId="0" borderId="18" xfId="0" applyFont="1" applyBorder="1" applyAlignment="1">
      <alignment horizontal="center" vertical="center" textRotation="255" wrapText="1"/>
    </xf>
    <xf numFmtId="0" fontId="13" fillId="0" borderId="3" xfId="0" applyFont="1" applyBorder="1" applyAlignment="1">
      <alignment horizontal="center" vertical="center" textRotation="90" wrapText="1"/>
    </xf>
    <xf numFmtId="0" fontId="13" fillId="0" borderId="12" xfId="0" applyFont="1" applyBorder="1" applyAlignment="1">
      <alignment horizontal="center" vertical="center" textRotation="255" wrapText="1"/>
    </xf>
    <xf numFmtId="0" fontId="13" fillId="0" borderId="11" xfId="0" applyFont="1" applyBorder="1" applyAlignment="1">
      <alignment horizontal="center" vertical="center" textRotation="90" wrapText="1"/>
    </xf>
    <xf numFmtId="0" fontId="13" fillId="0" borderId="13" xfId="0" applyFont="1" applyBorder="1" applyAlignment="1">
      <alignment horizontal="center" vertical="center" textRotation="255" wrapText="1"/>
    </xf>
    <xf numFmtId="0" fontId="13" fillId="0" borderId="15" xfId="0" applyFont="1" applyBorder="1" applyAlignment="1">
      <alignment horizontal="center" vertical="center" textRotation="90" wrapText="1"/>
    </xf>
    <xf numFmtId="0" fontId="13" fillId="0" borderId="24" xfId="0" applyFont="1" applyBorder="1" applyAlignment="1">
      <alignment horizontal="center" vertical="center" textRotation="255" wrapText="1"/>
    </xf>
    <xf numFmtId="0" fontId="10" fillId="0" borderId="17" xfId="0" applyFont="1" applyBorder="1"/>
    <xf numFmtId="0" fontId="10" fillId="0" borderId="5" xfId="0" applyFont="1" applyBorder="1"/>
    <xf numFmtId="0" fontId="14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textRotation="90" wrapText="1"/>
    </xf>
    <xf numFmtId="0" fontId="14" fillId="0" borderId="12" xfId="0" applyFont="1" applyBorder="1" applyAlignment="1">
      <alignment horizontal="center" vertical="center" textRotation="255" wrapText="1"/>
    </xf>
    <xf numFmtId="0" fontId="14" fillId="0" borderId="1" xfId="0" applyFont="1" applyBorder="1" applyAlignment="1">
      <alignment horizontal="center" vertical="center" textRotation="90" wrapText="1"/>
    </xf>
    <xf numFmtId="0" fontId="14" fillId="0" borderId="2" xfId="0" applyFont="1" applyBorder="1" applyAlignment="1">
      <alignment horizontal="center" vertical="center" textRotation="255" wrapText="1"/>
    </xf>
    <xf numFmtId="0" fontId="14" fillId="0" borderId="11" xfId="0" applyFont="1" applyBorder="1" applyAlignment="1">
      <alignment horizontal="center" vertical="center" textRotation="90" wrapText="1"/>
    </xf>
    <xf numFmtId="0" fontId="14" fillId="0" borderId="13" xfId="0" applyFont="1" applyBorder="1" applyAlignment="1">
      <alignment horizontal="center" vertical="center" textRotation="255" wrapText="1"/>
    </xf>
    <xf numFmtId="0" fontId="14" fillId="0" borderId="18" xfId="0" applyFont="1" applyBorder="1" applyAlignment="1">
      <alignment horizontal="center" vertical="center" textRotation="255" wrapText="1"/>
    </xf>
    <xf numFmtId="0" fontId="15" fillId="0" borderId="4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textRotation="90" wrapText="1"/>
    </xf>
    <xf numFmtId="0" fontId="16" fillId="0" borderId="12" xfId="0" applyFont="1" applyBorder="1" applyAlignment="1">
      <alignment horizontal="center" vertical="center" textRotation="255" wrapText="1"/>
    </xf>
    <xf numFmtId="0" fontId="15" fillId="0" borderId="1" xfId="0" applyFont="1" applyBorder="1" applyAlignment="1">
      <alignment horizontal="center" vertical="center" textRotation="90" wrapText="1"/>
    </xf>
    <xf numFmtId="0" fontId="16" fillId="0" borderId="2" xfId="0" applyFont="1" applyBorder="1" applyAlignment="1">
      <alignment horizontal="center" vertical="center" textRotation="255" wrapText="1"/>
    </xf>
    <xf numFmtId="0" fontId="15" fillId="0" borderId="11" xfId="0" applyFont="1" applyBorder="1" applyAlignment="1">
      <alignment horizontal="center" vertical="center" textRotation="90" wrapText="1"/>
    </xf>
    <xf numFmtId="0" fontId="16" fillId="0" borderId="13" xfId="0" applyFont="1" applyBorder="1" applyAlignment="1">
      <alignment horizontal="center" vertical="center" textRotation="255" wrapText="1"/>
    </xf>
    <xf numFmtId="0" fontId="10" fillId="0" borderId="22" xfId="0" applyFont="1" applyBorder="1"/>
    <xf numFmtId="0" fontId="14" fillId="0" borderId="29" xfId="0" applyFont="1" applyBorder="1" applyAlignment="1">
      <alignment horizontal="center" vertical="center" textRotation="90" wrapText="1"/>
    </xf>
    <xf numFmtId="0" fontId="13" fillId="0" borderId="3" xfId="0" applyFont="1" applyBorder="1" applyAlignment="1">
      <alignment horizontal="center" vertical="center" textRotation="255" wrapText="1"/>
    </xf>
    <xf numFmtId="0" fontId="6" fillId="2" borderId="8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0" borderId="21" xfId="0" applyFont="1" applyBorder="1"/>
    <xf numFmtId="0" fontId="7" fillId="2" borderId="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textRotation="255" wrapText="1"/>
    </xf>
    <xf numFmtId="0" fontId="12" fillId="0" borderId="2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textRotation="255" wrapText="1"/>
    </xf>
    <xf numFmtId="0" fontId="16" fillId="0" borderId="1" xfId="0" applyFont="1" applyBorder="1" applyAlignment="1">
      <alignment horizontal="center" vertical="center" textRotation="255" wrapText="1"/>
    </xf>
    <xf numFmtId="0" fontId="16" fillId="0" borderId="11" xfId="0" applyFont="1" applyBorder="1" applyAlignment="1">
      <alignment horizontal="center" vertical="center" textRotation="255" wrapText="1"/>
    </xf>
    <xf numFmtId="0" fontId="10" fillId="0" borderId="16" xfId="0" applyFont="1" applyBorder="1"/>
    <xf numFmtId="0" fontId="13" fillId="0" borderId="1" xfId="0" applyFont="1" applyBorder="1" applyAlignment="1">
      <alignment horizontal="center" vertical="center" textRotation="255" wrapText="1"/>
    </xf>
    <xf numFmtId="0" fontId="2" fillId="0" borderId="16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textRotation="255" wrapText="1"/>
    </xf>
    <xf numFmtId="0" fontId="14" fillId="0" borderId="3" xfId="0" applyFont="1" applyBorder="1" applyAlignment="1">
      <alignment horizontal="center" vertical="center" textRotation="255" wrapText="1"/>
    </xf>
    <xf numFmtId="0" fontId="12" fillId="3" borderId="8" xfId="0" applyFont="1" applyFill="1" applyBorder="1" applyAlignment="1">
      <alignment horizontal="center" vertical="top" wrapText="1"/>
    </xf>
    <xf numFmtId="0" fontId="12" fillId="0" borderId="21" xfId="0" applyFont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textRotation="90" wrapText="1"/>
    </xf>
    <xf numFmtId="0" fontId="12" fillId="0" borderId="12" xfId="0" applyFont="1" applyBorder="1" applyAlignment="1">
      <alignment horizontal="center" vertical="center" textRotation="255" wrapText="1"/>
    </xf>
    <xf numFmtId="0" fontId="12" fillId="0" borderId="2" xfId="0" applyFont="1" applyBorder="1" applyAlignment="1">
      <alignment horizontal="center" vertical="center" textRotation="255" wrapText="1"/>
    </xf>
    <xf numFmtId="0" fontId="12" fillId="0" borderId="13" xfId="0" applyFont="1" applyBorder="1" applyAlignment="1">
      <alignment horizontal="center" vertical="center" textRotation="255" wrapText="1"/>
    </xf>
    <xf numFmtId="0" fontId="12" fillId="0" borderId="1" xfId="0" applyFont="1" applyBorder="1" applyAlignment="1">
      <alignment horizontal="center" vertical="center" textRotation="255" wrapText="1"/>
    </xf>
    <xf numFmtId="0" fontId="12" fillId="0" borderId="18" xfId="0" applyFont="1" applyBorder="1" applyAlignment="1">
      <alignment horizontal="center" vertical="center" textRotation="255" wrapText="1"/>
    </xf>
    <xf numFmtId="0" fontId="12" fillId="0" borderId="8" xfId="0" applyFont="1" applyBorder="1" applyAlignment="1">
      <alignment horizontal="center" vertical="center" textRotation="90" wrapText="1"/>
    </xf>
    <xf numFmtId="0" fontId="2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horizontal="center" vertical="top" wrapText="1"/>
    </xf>
    <xf numFmtId="0" fontId="18" fillId="0" borderId="16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9" fillId="2" borderId="24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23" fillId="2" borderId="24" xfId="0" applyFont="1" applyFill="1" applyBorder="1" applyAlignment="1">
      <alignment horizontal="center" vertical="center" wrapText="1"/>
    </xf>
    <xf numFmtId="0" fontId="23" fillId="2" borderId="2" xfId="0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1" fillId="4" borderId="2" xfId="0" applyFont="1" applyFill="1" applyBorder="1" applyAlignment="1">
      <alignment horizontal="center" vertical="center" wrapText="1"/>
    </xf>
    <xf numFmtId="0" fontId="21" fillId="2" borderId="18" xfId="0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top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wrapText="1"/>
    </xf>
    <xf numFmtId="0" fontId="2" fillId="0" borderId="21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textRotation="90" wrapText="1"/>
    </xf>
    <xf numFmtId="0" fontId="15" fillId="0" borderId="12" xfId="0" applyFont="1" applyBorder="1" applyAlignment="1">
      <alignment horizontal="center" vertical="center" textRotation="90" wrapText="1"/>
    </xf>
    <xf numFmtId="0" fontId="15" fillId="0" borderId="2" xfId="0" applyFont="1" applyBorder="1" applyAlignment="1">
      <alignment horizontal="center" vertical="center" textRotation="90" wrapText="1"/>
    </xf>
    <xf numFmtId="0" fontId="15" fillId="0" borderId="13" xfId="0" applyFont="1" applyBorder="1" applyAlignment="1">
      <alignment horizontal="center" vertical="center" textRotation="90" wrapText="1"/>
    </xf>
    <xf numFmtId="0" fontId="12" fillId="0" borderId="5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textRotation="90" wrapText="1"/>
    </xf>
    <xf numFmtId="0" fontId="15" fillId="0" borderId="9" xfId="0" applyFont="1" applyBorder="1" applyAlignment="1">
      <alignment horizontal="center" vertical="center" textRotation="90" wrapText="1"/>
    </xf>
    <xf numFmtId="0" fontId="15" fillId="0" borderId="26" xfId="0" applyFont="1" applyBorder="1" applyAlignment="1">
      <alignment horizontal="center" vertical="center" textRotation="90" wrapText="1"/>
    </xf>
    <xf numFmtId="0" fontId="6" fillId="0" borderId="5" xfId="0" applyFont="1" applyBorder="1"/>
    <xf numFmtId="0" fontId="11" fillId="2" borderId="16" xfId="0" applyFont="1" applyFill="1" applyBorder="1" applyAlignment="1">
      <alignment horizontal="center" vertical="center" wrapText="1"/>
    </xf>
    <xf numFmtId="0" fontId="11" fillId="2" borderId="36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1" fillId="2" borderId="18" xfId="0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textRotation="255" wrapText="1"/>
    </xf>
    <xf numFmtId="0" fontId="11" fillId="2" borderId="11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textRotation="255" wrapText="1"/>
    </xf>
    <xf numFmtId="0" fontId="6" fillId="0" borderId="22" xfId="0" applyFont="1" applyBorder="1"/>
    <xf numFmtId="0" fontId="12" fillId="0" borderId="20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textRotation="255" wrapText="1"/>
    </xf>
    <xf numFmtId="0" fontId="1" fillId="0" borderId="22" xfId="0" applyFont="1" applyBorder="1" applyAlignment="1">
      <alignment wrapText="1"/>
    </xf>
    <xf numFmtId="0" fontId="1" fillId="0" borderId="1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3" fillId="0" borderId="8" xfId="0" applyFont="1" applyBorder="1" applyAlignment="1">
      <alignment horizontal="center" vertical="center" textRotation="255" wrapText="1"/>
    </xf>
    <xf numFmtId="0" fontId="19" fillId="2" borderId="2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vertical="center" wrapText="1"/>
    </xf>
    <xf numFmtId="0" fontId="14" fillId="0" borderId="5" xfId="0" applyFont="1" applyBorder="1" applyAlignment="1">
      <alignment horizontal="center" vertical="center" textRotation="90" wrapText="1"/>
    </xf>
    <xf numFmtId="0" fontId="14" fillId="0" borderId="16" xfId="0" applyFont="1" applyBorder="1" applyAlignment="1">
      <alignment horizontal="center" vertical="center" textRotation="90" wrapText="1"/>
    </xf>
    <xf numFmtId="0" fontId="14" fillId="0" borderId="17" xfId="0" applyFont="1" applyBorder="1" applyAlignment="1">
      <alignment horizontal="center" vertical="center" textRotation="90" wrapText="1"/>
    </xf>
    <xf numFmtId="0" fontId="12" fillId="0" borderId="1" xfId="0" applyFont="1" applyBorder="1" applyAlignment="1">
      <alignment horizontal="center" vertical="center" textRotation="90" wrapText="1"/>
    </xf>
    <xf numFmtId="0" fontId="12" fillId="0" borderId="11" xfId="0" applyFont="1" applyBorder="1" applyAlignment="1">
      <alignment horizontal="center" vertical="center" textRotation="90" wrapText="1"/>
    </xf>
    <xf numFmtId="0" fontId="12" fillId="0" borderId="5" xfId="0" applyFont="1" applyBorder="1" applyAlignment="1">
      <alignment horizontal="center" vertical="center" textRotation="90" wrapText="1"/>
    </xf>
    <xf numFmtId="0" fontId="12" fillId="0" borderId="7" xfId="0" applyFont="1" applyBorder="1" applyAlignment="1">
      <alignment horizontal="center" vertical="center" textRotation="90" wrapText="1"/>
    </xf>
    <xf numFmtId="0" fontId="12" fillId="0" borderId="16" xfId="0" applyFont="1" applyBorder="1" applyAlignment="1">
      <alignment horizontal="center" vertical="center" textRotation="90" wrapText="1"/>
    </xf>
    <xf numFmtId="0" fontId="12" fillId="0" borderId="17" xfId="0" applyFont="1" applyBorder="1" applyAlignment="1">
      <alignment horizontal="center" vertical="center" textRotation="90" wrapText="1"/>
    </xf>
    <xf numFmtId="0" fontId="21" fillId="2" borderId="2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textRotation="90" wrapText="1"/>
    </xf>
    <xf numFmtId="0" fontId="15" fillId="0" borderId="18" xfId="0" applyFont="1" applyBorder="1" applyAlignment="1">
      <alignment horizontal="center" vertical="center" textRotation="90" wrapText="1"/>
    </xf>
    <xf numFmtId="0" fontId="11" fillId="2" borderId="21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23" fillId="2" borderId="39" xfId="0" applyFont="1" applyFill="1" applyBorder="1" applyAlignment="1">
      <alignment horizontal="center" vertical="center" wrapText="1"/>
    </xf>
    <xf numFmtId="0" fontId="23" fillId="2" borderId="36" xfId="0" applyFont="1" applyFill="1" applyBorder="1" applyAlignment="1">
      <alignment horizontal="center" vertical="center" wrapText="1"/>
    </xf>
    <xf numFmtId="0" fontId="19" fillId="2" borderId="36" xfId="0" applyFont="1" applyFill="1" applyBorder="1" applyAlignment="1">
      <alignment horizontal="center" vertical="center" wrapText="1"/>
    </xf>
    <xf numFmtId="0" fontId="19" fillId="2" borderId="35" xfId="0" applyFont="1" applyFill="1" applyBorder="1" applyAlignment="1">
      <alignment horizontal="center" vertical="center" wrapText="1"/>
    </xf>
    <xf numFmtId="0" fontId="19" fillId="2" borderId="40" xfId="0" applyFont="1" applyFill="1" applyBorder="1" applyAlignment="1">
      <alignment horizontal="center" vertical="center" wrapText="1"/>
    </xf>
    <xf numFmtId="0" fontId="23" fillId="2" borderId="40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2" borderId="41" xfId="0" applyFont="1" applyFill="1" applyBorder="1" applyAlignment="1">
      <alignment vertical="center" wrapText="1"/>
    </xf>
    <xf numFmtId="0" fontId="11" fillId="2" borderId="24" xfId="0" applyFont="1" applyFill="1" applyBorder="1" applyAlignment="1">
      <alignment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2" borderId="42" xfId="0" applyFont="1" applyFill="1" applyBorder="1" applyAlignment="1">
      <alignment horizontal="center" vertical="center" wrapText="1"/>
    </xf>
    <xf numFmtId="0" fontId="11" fillId="2" borderId="27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0" borderId="1" xfId="0" applyFont="1" applyBorder="1"/>
    <xf numFmtId="0" fontId="19" fillId="2" borderId="3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10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11" fillId="2" borderId="43" xfId="0" applyFont="1" applyFill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2" borderId="1" xfId="0" applyFont="1" applyFill="1" applyBorder="1"/>
    <xf numFmtId="0" fontId="6" fillId="0" borderId="11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11" fillId="2" borderId="38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2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/>
    </xf>
    <xf numFmtId="0" fontId="27" fillId="2" borderId="3" xfId="0" applyFont="1" applyFill="1" applyBorder="1" applyAlignment="1">
      <alignment horizontal="center" vertical="center" wrapText="1"/>
    </xf>
    <xf numFmtId="0" fontId="19" fillId="2" borderId="9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0" fontId="23" fillId="2" borderId="25" xfId="0" applyFont="1" applyFill="1" applyBorder="1" applyAlignment="1">
      <alignment horizontal="center" vertical="center" wrapText="1"/>
    </xf>
    <xf numFmtId="0" fontId="10" fillId="2" borderId="11" xfId="0" applyFont="1" applyFill="1" applyBorder="1"/>
    <xf numFmtId="0" fontId="19" fillId="2" borderId="4" xfId="0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 wrapText="1"/>
    </xf>
    <xf numFmtId="0" fontId="35" fillId="2" borderId="8" xfId="0" applyFont="1" applyFill="1" applyBorder="1" applyAlignment="1">
      <alignment horizontal="center" vertical="center" wrapText="1"/>
    </xf>
    <xf numFmtId="0" fontId="35" fillId="2" borderId="4" xfId="0" applyFont="1" applyFill="1" applyBorder="1" applyAlignment="1">
      <alignment horizontal="center" vertical="center" wrapText="1"/>
    </xf>
    <xf numFmtId="0" fontId="35" fillId="2" borderId="11" xfId="0" applyFont="1" applyFill="1" applyBorder="1" applyAlignment="1">
      <alignment horizontal="center" vertical="center" wrapText="1"/>
    </xf>
    <xf numFmtId="0" fontId="35" fillId="2" borderId="3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 applyProtection="1">
      <alignment horizontal="center" vertical="center" wrapText="1"/>
    </xf>
    <xf numFmtId="0" fontId="27" fillId="0" borderId="3" xfId="0" applyNumberFormat="1" applyFont="1" applyFill="1" applyBorder="1" applyAlignment="1" applyProtection="1">
      <alignment horizontal="center" vertical="center" wrapText="1"/>
    </xf>
    <xf numFmtId="0" fontId="28" fillId="0" borderId="3" xfId="0" applyNumberFormat="1" applyFont="1" applyFill="1" applyBorder="1" applyAlignment="1" applyProtection="1">
      <alignment horizontal="center" vertical="center" wrapText="1"/>
    </xf>
    <xf numFmtId="0" fontId="29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8" fillId="0" borderId="11" xfId="0" applyNumberFormat="1" applyFont="1" applyFill="1" applyBorder="1" applyAlignment="1" applyProtection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8" fillId="0" borderId="1" xfId="0" applyNumberFormat="1" applyFont="1" applyFill="1" applyBorder="1" applyAlignment="1" applyProtection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7" fillId="0" borderId="1" xfId="0" applyNumberFormat="1" applyFont="1" applyFill="1" applyBorder="1" applyAlignment="1" applyProtection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14" fontId="14" fillId="0" borderId="46" xfId="0" applyNumberFormat="1" applyFont="1" applyBorder="1" applyAlignment="1">
      <alignment horizontal="center" vertical="center" textRotation="90" wrapText="1"/>
    </xf>
    <xf numFmtId="0" fontId="0" fillId="0" borderId="7" xfId="0" applyBorder="1"/>
    <xf numFmtId="0" fontId="0" fillId="0" borderId="14" xfId="0" applyBorder="1"/>
    <xf numFmtId="14" fontId="14" fillId="0" borderId="25" xfId="0" applyNumberFormat="1" applyFont="1" applyBorder="1" applyAlignment="1">
      <alignment horizontal="center" vertical="center" textRotation="90" wrapText="1"/>
    </xf>
    <xf numFmtId="0" fontId="0" fillId="0" borderId="17" xfId="0" applyBorder="1"/>
    <xf numFmtId="0" fontId="0" fillId="0" borderId="27" xfId="0" applyBorder="1"/>
    <xf numFmtId="14" fontId="14" fillId="0" borderId="10" xfId="0" applyNumberFormat="1" applyFont="1" applyBorder="1" applyAlignment="1">
      <alignment horizontal="center" vertical="center" textRotation="90" wrapText="1"/>
    </xf>
    <xf numFmtId="0" fontId="0" fillId="0" borderId="47" xfId="0" applyBorder="1"/>
    <xf numFmtId="0" fontId="14" fillId="0" borderId="26" xfId="0" applyFont="1" applyBorder="1" applyAlignment="1">
      <alignment horizontal="center" vertical="center" textRotation="90" wrapText="1"/>
    </xf>
    <xf numFmtId="0" fontId="0" fillId="0" borderId="28" xfId="0" applyBorder="1"/>
    <xf numFmtId="0" fontId="13" fillId="3" borderId="48" xfId="0" applyFont="1" applyFill="1" applyBorder="1" applyAlignment="1">
      <alignment horizontal="center" vertical="center" wrapText="1"/>
    </xf>
    <xf numFmtId="0" fontId="0" fillId="0" borderId="31" xfId="0" applyBorder="1"/>
    <xf numFmtId="0" fontId="0" fillId="0" borderId="22" xfId="0" applyBorder="1"/>
    <xf numFmtId="0" fontId="0" fillId="0" borderId="49" xfId="0" applyBorder="1"/>
    <xf numFmtId="0" fontId="14" fillId="0" borderId="11" xfId="0" applyFont="1" applyBorder="1" applyAlignment="1">
      <alignment horizontal="center" vertical="center" textRotation="90" wrapText="1"/>
    </xf>
    <xf numFmtId="0" fontId="0" fillId="0" borderId="5" xfId="0" applyBorder="1"/>
    <xf numFmtId="0" fontId="0" fillId="0" borderId="23" xfId="0" applyBorder="1"/>
    <xf numFmtId="0" fontId="14" fillId="0" borderId="13" xfId="0" applyFont="1" applyBorder="1" applyAlignment="1">
      <alignment horizontal="center" vertical="center" textRotation="90" wrapText="1"/>
    </xf>
    <xf numFmtId="0" fontId="0" fillId="0" borderId="16" xfId="0" applyBorder="1"/>
    <xf numFmtId="0" fontId="0" fillId="0" borderId="33" xfId="0" applyBorder="1"/>
    <xf numFmtId="0" fontId="14" fillId="0" borderId="8" xfId="0" applyFont="1" applyBorder="1" applyAlignment="1">
      <alignment horizontal="center" vertical="center" textRotation="90" wrapText="1"/>
    </xf>
    <xf numFmtId="0" fontId="13" fillId="0" borderId="11" xfId="0" applyFont="1" applyBorder="1" applyAlignment="1">
      <alignment horizontal="center" vertical="center" textRotation="90" wrapText="1"/>
    </xf>
    <xf numFmtId="14" fontId="13" fillId="0" borderId="6" xfId="0" applyNumberFormat="1" applyFont="1" applyBorder="1" applyAlignment="1">
      <alignment horizontal="center" vertical="center" textRotation="90" wrapText="1"/>
    </xf>
    <xf numFmtId="0" fontId="13" fillId="0" borderId="26" xfId="0" applyFont="1" applyBorder="1" applyAlignment="1">
      <alignment horizontal="center" vertical="center" textRotation="90" wrapText="1"/>
    </xf>
    <xf numFmtId="14" fontId="13" fillId="0" borderId="10" xfId="0" applyNumberFormat="1" applyFont="1" applyBorder="1" applyAlignment="1">
      <alignment horizontal="center" vertical="center" textRotation="90" wrapText="1"/>
    </xf>
    <xf numFmtId="14" fontId="13" fillId="0" borderId="20" xfId="0" applyNumberFormat="1" applyFont="1" applyBorder="1" applyAlignment="1">
      <alignment horizontal="center" vertical="center" textRotation="90" wrapText="1"/>
    </xf>
    <xf numFmtId="14" fontId="13" fillId="0" borderId="25" xfId="0" applyNumberFormat="1" applyFont="1" applyBorder="1" applyAlignment="1">
      <alignment horizontal="center" vertical="center" textRotation="90" wrapText="1"/>
    </xf>
    <xf numFmtId="0" fontId="25" fillId="3" borderId="8" xfId="0" applyFont="1" applyFill="1" applyBorder="1" applyAlignment="1">
      <alignment horizontal="center" vertical="center" wrapText="1"/>
    </xf>
    <xf numFmtId="0" fontId="0" fillId="0" borderId="40" xfId="0" applyBorder="1"/>
    <xf numFmtId="0" fontId="0" fillId="0" borderId="19" xfId="0" applyBorder="1"/>
    <xf numFmtId="0" fontId="13" fillId="0" borderId="13" xfId="0" applyFont="1" applyBorder="1" applyAlignment="1">
      <alignment horizontal="center" vertical="center" textRotation="90" wrapText="1"/>
    </xf>
    <xf numFmtId="14" fontId="17" fillId="0" borderId="25" xfId="0" applyNumberFormat="1" applyFont="1" applyBorder="1" applyAlignment="1">
      <alignment horizontal="center" vertical="center" textRotation="90" wrapText="1"/>
    </xf>
    <xf numFmtId="14" fontId="17" fillId="0" borderId="10" xfId="0" applyNumberFormat="1" applyFont="1" applyBorder="1" applyAlignment="1">
      <alignment horizontal="center" vertical="center" textRotation="90" wrapText="1"/>
    </xf>
    <xf numFmtId="0" fontId="16" fillId="0" borderId="13" xfId="0" applyFont="1" applyBorder="1" applyAlignment="1">
      <alignment horizontal="center" vertical="center" textRotation="90" wrapText="1"/>
    </xf>
    <xf numFmtId="0" fontId="16" fillId="0" borderId="11" xfId="0" applyFont="1" applyBorder="1" applyAlignment="1">
      <alignment horizontal="center" vertical="center" textRotation="90" wrapText="1"/>
    </xf>
    <xf numFmtId="0" fontId="16" fillId="0" borderId="26" xfId="0" applyFont="1" applyBorder="1" applyAlignment="1">
      <alignment horizontal="center" vertical="center" textRotation="90" wrapText="1"/>
    </xf>
    <xf numFmtId="0" fontId="22" fillId="3" borderId="14" xfId="0" applyFont="1" applyFill="1" applyBorder="1" applyAlignment="1">
      <alignment horizontal="center" vertical="center" wrapText="1"/>
    </xf>
    <xf numFmtId="0" fontId="0" fillId="0" borderId="32" xfId="0" applyBorder="1"/>
    <xf numFmtId="14" fontId="17" fillId="0" borderId="4" xfId="0" applyNumberFormat="1" applyFont="1" applyBorder="1" applyAlignment="1">
      <alignment horizontal="center" vertical="center" textRotation="90" wrapText="1"/>
    </xf>
    <xf numFmtId="14" fontId="17" fillId="0" borderId="6" xfId="0" applyNumberFormat="1" applyFont="1" applyBorder="1" applyAlignment="1">
      <alignment horizontal="center" vertical="center" textRotation="90" wrapText="1"/>
    </xf>
    <xf numFmtId="0" fontId="22" fillId="3" borderId="28" xfId="0" applyFont="1" applyFill="1" applyBorder="1" applyAlignment="1">
      <alignment horizontal="center" vertical="center" wrapText="1"/>
    </xf>
    <xf numFmtId="14" fontId="12" fillId="0" borderId="25" xfId="0" applyNumberFormat="1" applyFont="1" applyBorder="1" applyAlignment="1">
      <alignment horizontal="center" vertical="center" textRotation="90" wrapText="1"/>
    </xf>
    <xf numFmtId="14" fontId="12" fillId="0" borderId="6" xfId="0" applyNumberFormat="1" applyFont="1" applyBorder="1" applyAlignment="1">
      <alignment horizontal="center" vertical="center" textRotation="90" wrapText="1"/>
    </xf>
    <xf numFmtId="14" fontId="12" fillId="0" borderId="4" xfId="0" applyNumberFormat="1" applyFont="1" applyBorder="1" applyAlignment="1">
      <alignment horizontal="center" vertical="center" textRotation="90" wrapText="1"/>
    </xf>
    <xf numFmtId="0" fontId="12" fillId="0" borderId="4" xfId="0" applyFont="1" applyBorder="1" applyAlignment="1">
      <alignment horizontal="center" vertical="center" textRotation="90" wrapText="1"/>
    </xf>
    <xf numFmtId="14" fontId="12" fillId="0" borderId="10" xfId="0" applyNumberFormat="1" applyFont="1" applyBorder="1" applyAlignment="1">
      <alignment horizontal="center" vertical="center" textRotation="90" wrapText="1"/>
    </xf>
    <xf numFmtId="0" fontId="12" fillId="0" borderId="6" xfId="0" applyFont="1" applyBorder="1" applyAlignment="1">
      <alignment horizontal="center" vertical="center" textRotation="90" wrapText="1"/>
    </xf>
    <xf numFmtId="0" fontId="12" fillId="0" borderId="21" xfId="0" applyFont="1" applyBorder="1" applyAlignment="1">
      <alignment horizontal="center" vertical="center" textRotation="90" wrapText="1"/>
    </xf>
    <xf numFmtId="0" fontId="12" fillId="0" borderId="20" xfId="0" applyFont="1" applyBorder="1" applyAlignment="1">
      <alignment horizontal="center" vertical="center" textRotation="90" wrapText="1"/>
    </xf>
    <xf numFmtId="0" fontId="26" fillId="3" borderId="30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textRotation="90" wrapText="1"/>
    </xf>
    <xf numFmtId="0" fontId="0" fillId="0" borderId="15" xfId="0" applyBorder="1"/>
    <xf numFmtId="0" fontId="28" fillId="0" borderId="4" xfId="0" applyNumberFormat="1" applyFont="1" applyFill="1" applyBorder="1" applyAlignment="1" applyProtection="1">
      <alignment horizontal="center" vertical="center" wrapText="1"/>
    </xf>
    <xf numFmtId="0" fontId="28" fillId="0" borderId="8" xfId="0" applyNumberFormat="1" applyFont="1" applyFill="1" applyBorder="1" applyAlignment="1" applyProtection="1">
      <alignment horizontal="center" vertical="center" wrapText="1"/>
    </xf>
    <xf numFmtId="0" fontId="27" fillId="0" borderId="4" xfId="0" applyNumberFormat="1" applyFont="1" applyFill="1" applyBorder="1" applyAlignment="1" applyProtection="1">
      <alignment horizontal="center" vertical="center" wrapText="1"/>
    </xf>
    <xf numFmtId="0" fontId="28" fillId="2" borderId="3" xfId="0" applyFont="1" applyFill="1" applyBorder="1" applyAlignment="1">
      <alignment horizontal="center" vertical="center" wrapText="1"/>
    </xf>
    <xf numFmtId="0" fontId="28" fillId="2" borderId="12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28" fillId="2" borderId="11" xfId="0" applyFont="1" applyFill="1" applyBorder="1" applyAlignment="1">
      <alignment horizontal="center" vertical="center" wrapText="1"/>
    </xf>
    <xf numFmtId="0" fontId="35" fillId="2" borderId="15" xfId="0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4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L36"/>
  <sheetViews>
    <sheetView zoomScale="68" zoomScaleNormal="68" workbookViewId="0">
      <pane xSplit="3" ySplit="3" topLeftCell="D19" activePane="bottomRight" state="frozen"/>
      <selection pane="topRight" activeCell="D1" sqref="D1"/>
      <selection pane="bottomLeft" activeCell="A4" sqref="A4"/>
      <selection pane="bottomRight" activeCell="E25" sqref="E25"/>
    </sheetView>
  </sheetViews>
  <sheetFormatPr defaultColWidth="9.140625" defaultRowHeight="15" x14ac:dyDescent="0.25"/>
  <cols>
    <col min="1" max="1" width="9.140625" customWidth="1"/>
    <col min="2" max="3" width="5.7109375" style="2" customWidth="1"/>
    <col min="4" max="4" width="68.5703125" style="131" customWidth="1"/>
    <col min="5" max="5" width="73.5703125" style="69" customWidth="1"/>
    <col min="6" max="6" width="72.140625" style="69" customWidth="1"/>
    <col min="7" max="7" width="63.85546875" style="69" customWidth="1"/>
    <col min="8" max="8" width="67.42578125" style="6" customWidth="1"/>
    <col min="10" max="11" width="5.7109375" style="2" customWidth="1"/>
    <col min="12" max="12" width="9.140625" style="1" customWidth="1"/>
    <col min="13" max="16384" width="9.140625" style="1"/>
  </cols>
  <sheetData>
    <row r="1" spans="1:12" ht="31.5" customHeight="1" thickBot="1" x14ac:dyDescent="0.3">
      <c r="A1" s="319" t="s">
        <v>0</v>
      </c>
      <c r="B1" s="325" t="s">
        <v>1</v>
      </c>
      <c r="C1" s="322" t="s">
        <v>2</v>
      </c>
      <c r="D1" s="122" t="s">
        <v>3</v>
      </c>
      <c r="E1" s="122" t="s">
        <v>4</v>
      </c>
      <c r="F1" s="122" t="s">
        <v>5</v>
      </c>
      <c r="G1" s="122" t="s">
        <v>6</v>
      </c>
      <c r="H1" s="29" t="s">
        <v>7</v>
      </c>
      <c r="I1" s="313" t="s">
        <v>0</v>
      </c>
      <c r="J1" s="319" t="s">
        <v>1</v>
      </c>
      <c r="K1" s="319" t="s">
        <v>2</v>
      </c>
    </row>
    <row r="2" spans="1:12" ht="31.5" customHeight="1" x14ac:dyDescent="0.25">
      <c r="A2" s="320"/>
      <c r="B2" s="320"/>
      <c r="C2" s="323"/>
      <c r="D2" s="132" t="s">
        <v>8</v>
      </c>
      <c r="E2" s="132" t="s">
        <v>8</v>
      </c>
      <c r="F2" s="132" t="s">
        <v>9</v>
      </c>
      <c r="G2" s="132" t="s">
        <v>10</v>
      </c>
      <c r="H2" s="30" t="s">
        <v>11</v>
      </c>
      <c r="I2" s="309"/>
      <c r="J2" s="320"/>
      <c r="K2" s="320"/>
    </row>
    <row r="3" spans="1:12" ht="45.75" customHeight="1" x14ac:dyDescent="0.25">
      <c r="A3" s="320"/>
      <c r="B3" s="320"/>
      <c r="C3" s="323"/>
      <c r="D3" s="123" t="s">
        <v>12</v>
      </c>
      <c r="E3" s="132" t="s">
        <v>13</v>
      </c>
      <c r="F3" s="132" t="s">
        <v>14</v>
      </c>
      <c r="G3" s="132" t="s">
        <v>15</v>
      </c>
      <c r="H3" s="30" t="s">
        <v>16</v>
      </c>
      <c r="I3" s="309"/>
      <c r="J3" s="320"/>
      <c r="K3" s="320"/>
    </row>
    <row r="4" spans="1:12" ht="16.5" customHeight="1" thickBot="1" x14ac:dyDescent="0.3">
      <c r="A4" s="321"/>
      <c r="B4" s="320"/>
      <c r="C4" s="324"/>
      <c r="D4" s="124">
        <v>40</v>
      </c>
      <c r="E4" s="124">
        <v>14</v>
      </c>
      <c r="F4" s="124">
        <v>35</v>
      </c>
      <c r="G4" s="124">
        <v>37</v>
      </c>
      <c r="H4" s="31">
        <v>2</v>
      </c>
      <c r="I4" s="314"/>
      <c r="J4" s="321"/>
      <c r="K4" s="321"/>
    </row>
    <row r="5" spans="1:12" ht="27.75" customHeight="1" thickBot="1" x14ac:dyDescent="0.3">
      <c r="A5" s="187"/>
      <c r="B5" s="48"/>
      <c r="C5" s="186"/>
      <c r="D5" s="315" t="s">
        <v>17</v>
      </c>
      <c r="E5" s="316"/>
      <c r="F5" s="316"/>
      <c r="G5" s="317"/>
      <c r="H5" s="318"/>
      <c r="I5" s="138"/>
      <c r="J5" s="185"/>
      <c r="K5" s="48"/>
    </row>
    <row r="6" spans="1:12" ht="77.25" customHeight="1" x14ac:dyDescent="0.25">
      <c r="A6" s="311" t="s">
        <v>18</v>
      </c>
      <c r="B6" s="32" t="s">
        <v>19</v>
      </c>
      <c r="C6" s="33">
        <v>1</v>
      </c>
      <c r="D6" s="126" t="s">
        <v>20</v>
      </c>
      <c r="E6" s="125"/>
      <c r="F6" s="125"/>
      <c r="G6" s="298"/>
      <c r="H6" s="299"/>
      <c r="I6" s="308" t="str">
        <f>A6</f>
        <v>Понедельник 22.12.2025</v>
      </c>
      <c r="J6" s="32" t="s">
        <v>19</v>
      </c>
      <c r="K6" s="33">
        <v>1</v>
      </c>
      <c r="L6" s="69"/>
    </row>
    <row r="7" spans="1:12" ht="75" customHeight="1" x14ac:dyDescent="0.25">
      <c r="A7" s="306"/>
      <c r="B7" s="34" t="s">
        <v>21</v>
      </c>
      <c r="C7" s="35">
        <v>2</v>
      </c>
      <c r="D7" s="126" t="s">
        <v>20</v>
      </c>
      <c r="E7" s="126"/>
      <c r="F7" s="126"/>
      <c r="G7" s="298"/>
      <c r="H7" s="300"/>
      <c r="I7" s="309"/>
      <c r="J7" s="34" t="s">
        <v>21</v>
      </c>
      <c r="K7" s="35">
        <v>2</v>
      </c>
      <c r="L7" s="69"/>
    </row>
    <row r="8" spans="1:12" ht="62.25" customHeight="1" x14ac:dyDescent="0.25">
      <c r="A8" s="306"/>
      <c r="B8" s="34" t="s">
        <v>22</v>
      </c>
      <c r="C8" s="35">
        <v>3</v>
      </c>
      <c r="D8" s="126" t="s">
        <v>20</v>
      </c>
      <c r="E8" s="126" t="s">
        <v>32</v>
      </c>
      <c r="F8" s="239"/>
      <c r="G8" s="298"/>
      <c r="H8" s="300"/>
      <c r="I8" s="309"/>
      <c r="J8" s="34" t="s">
        <v>22</v>
      </c>
      <c r="K8" s="70">
        <v>3</v>
      </c>
    </row>
    <row r="9" spans="1:12" ht="61.5" customHeight="1" x14ac:dyDescent="0.25">
      <c r="A9" s="306"/>
      <c r="B9" s="34" t="s">
        <v>23</v>
      </c>
      <c r="C9" s="35">
        <v>4</v>
      </c>
      <c r="D9" s="126" t="s">
        <v>24</v>
      </c>
      <c r="E9" s="126" t="s">
        <v>25</v>
      </c>
      <c r="G9" s="298"/>
      <c r="H9" s="300"/>
      <c r="I9" s="309"/>
      <c r="J9" s="34" t="s">
        <v>23</v>
      </c>
      <c r="K9" s="35">
        <v>4</v>
      </c>
      <c r="L9" s="69"/>
    </row>
    <row r="10" spans="1:12" ht="65.25" customHeight="1" thickBot="1" x14ac:dyDescent="0.3">
      <c r="A10" s="312"/>
      <c r="B10" s="36" t="s">
        <v>26</v>
      </c>
      <c r="C10" s="37">
        <v>5</v>
      </c>
      <c r="D10" s="237" t="s">
        <v>279</v>
      </c>
      <c r="E10" s="128"/>
      <c r="F10" s="134"/>
      <c r="G10" s="298"/>
      <c r="H10" s="300"/>
      <c r="I10" s="310"/>
      <c r="J10" s="36" t="s">
        <v>26</v>
      </c>
      <c r="K10" s="37">
        <v>5</v>
      </c>
      <c r="L10" s="69"/>
    </row>
    <row r="11" spans="1:12" ht="63" customHeight="1" x14ac:dyDescent="0.25">
      <c r="A11" s="311" t="s">
        <v>27</v>
      </c>
      <c r="B11" s="32" t="s">
        <v>19</v>
      </c>
      <c r="C11" s="33">
        <v>1</v>
      </c>
      <c r="D11" s="126" t="s">
        <v>349</v>
      </c>
      <c r="E11" s="51" t="s">
        <v>28</v>
      </c>
      <c r="F11" s="129"/>
      <c r="I11" s="308" t="str">
        <f>A11</f>
        <v>Вторник 23.12.2025</v>
      </c>
      <c r="J11" s="32" t="s">
        <v>19</v>
      </c>
      <c r="K11" s="33">
        <v>1</v>
      </c>
      <c r="L11" s="69"/>
    </row>
    <row r="12" spans="1:12" ht="61.5" customHeight="1" x14ac:dyDescent="0.25">
      <c r="A12" s="306"/>
      <c r="B12" s="34" t="s">
        <v>21</v>
      </c>
      <c r="C12" s="35">
        <v>2</v>
      </c>
      <c r="D12" s="126" t="s">
        <v>350</v>
      </c>
      <c r="E12" s="126" t="s">
        <v>29</v>
      </c>
      <c r="F12" s="126"/>
      <c r="G12" s="298"/>
      <c r="H12" s="300"/>
      <c r="I12" s="309"/>
      <c r="J12" s="34" t="s">
        <v>21</v>
      </c>
      <c r="K12" s="70">
        <v>2</v>
      </c>
    </row>
    <row r="13" spans="1:12" ht="66.75" customHeight="1" x14ac:dyDescent="0.25">
      <c r="A13" s="306"/>
      <c r="B13" s="34" t="s">
        <v>22</v>
      </c>
      <c r="C13" s="35">
        <v>3</v>
      </c>
      <c r="D13" s="126" t="s">
        <v>350</v>
      </c>
      <c r="E13" s="126"/>
      <c r="F13" s="126"/>
      <c r="G13" s="298"/>
      <c r="H13" s="300"/>
      <c r="I13" s="309"/>
      <c r="J13" s="34" t="s">
        <v>22</v>
      </c>
      <c r="K13" s="70">
        <v>3</v>
      </c>
    </row>
    <row r="14" spans="1:12" ht="47.25" customHeight="1" x14ac:dyDescent="0.25">
      <c r="A14" s="306"/>
      <c r="B14" s="34" t="s">
        <v>23</v>
      </c>
      <c r="C14" s="35">
        <v>4</v>
      </c>
      <c r="D14" s="126" t="s">
        <v>350</v>
      </c>
      <c r="E14" s="126"/>
      <c r="F14" s="126"/>
      <c r="G14" s="298"/>
      <c r="H14" s="300"/>
      <c r="I14" s="309"/>
      <c r="J14" s="34" t="s">
        <v>23</v>
      </c>
      <c r="K14" s="35">
        <v>4</v>
      </c>
      <c r="L14" s="69"/>
    </row>
    <row r="15" spans="1:12" ht="66" customHeight="1" thickBot="1" x14ac:dyDescent="0.3">
      <c r="A15" s="312"/>
      <c r="B15" s="36" t="s">
        <v>26</v>
      </c>
      <c r="C15" s="37">
        <v>5</v>
      </c>
      <c r="D15" s="252" t="s">
        <v>351</v>
      </c>
      <c r="E15" s="169"/>
      <c r="F15" s="200"/>
      <c r="G15" s="298"/>
      <c r="H15" s="300"/>
      <c r="I15" s="310"/>
      <c r="J15" s="36" t="s">
        <v>26</v>
      </c>
      <c r="K15" s="37">
        <v>5</v>
      </c>
      <c r="L15" s="69"/>
    </row>
    <row r="16" spans="1:12" ht="63" customHeight="1" x14ac:dyDescent="0.25">
      <c r="A16" s="311" t="s">
        <v>30</v>
      </c>
      <c r="B16" s="32" t="s">
        <v>19</v>
      </c>
      <c r="C16" s="33">
        <v>1</v>
      </c>
      <c r="D16" s="296"/>
      <c r="E16" s="51"/>
      <c r="F16" s="125"/>
      <c r="G16" s="298"/>
      <c r="H16" s="299"/>
      <c r="I16" s="308" t="str">
        <f>A16</f>
        <v>Среда 24.12.2025</v>
      </c>
      <c r="J16" s="32" t="s">
        <v>19</v>
      </c>
      <c r="K16" s="71">
        <v>1</v>
      </c>
    </row>
    <row r="17" spans="1:12" ht="66" customHeight="1" x14ac:dyDescent="0.25">
      <c r="A17" s="306"/>
      <c r="B17" s="34" t="s">
        <v>21</v>
      </c>
      <c r="C17" s="35">
        <v>2</v>
      </c>
      <c r="D17" s="295"/>
      <c r="E17" s="126" t="s">
        <v>373</v>
      </c>
      <c r="F17" s="126"/>
      <c r="G17" s="298"/>
      <c r="H17" s="300"/>
      <c r="I17" s="309"/>
      <c r="J17" s="34" t="s">
        <v>21</v>
      </c>
      <c r="K17" s="35">
        <v>2</v>
      </c>
      <c r="L17" s="69"/>
    </row>
    <row r="18" spans="1:12" ht="62.25" customHeight="1" x14ac:dyDescent="0.25">
      <c r="A18" s="306"/>
      <c r="B18" s="34" t="s">
        <v>22</v>
      </c>
      <c r="C18" s="35">
        <v>3</v>
      </c>
      <c r="D18" s="294" t="s">
        <v>296</v>
      </c>
      <c r="E18" s="126" t="s">
        <v>373</v>
      </c>
      <c r="F18" s="126"/>
      <c r="G18" s="298"/>
      <c r="H18" s="300"/>
      <c r="I18" s="309"/>
      <c r="J18" s="34" t="s">
        <v>22</v>
      </c>
      <c r="K18" s="70">
        <v>3</v>
      </c>
    </row>
    <row r="19" spans="1:12" ht="66" customHeight="1" x14ac:dyDescent="0.25">
      <c r="A19" s="306"/>
      <c r="B19" s="34" t="s">
        <v>23</v>
      </c>
      <c r="C19" s="35">
        <v>4</v>
      </c>
      <c r="D19" s="126"/>
      <c r="E19" s="126" t="s">
        <v>373</v>
      </c>
      <c r="F19" s="126"/>
      <c r="G19" s="298"/>
      <c r="H19" s="300"/>
      <c r="I19" s="309"/>
      <c r="J19" s="34" t="s">
        <v>23</v>
      </c>
      <c r="K19" s="35">
        <v>4</v>
      </c>
      <c r="L19" s="69"/>
    </row>
    <row r="20" spans="1:12" ht="63.75" customHeight="1" thickBot="1" x14ac:dyDescent="0.3">
      <c r="A20" s="312"/>
      <c r="B20" s="36" t="s">
        <v>26</v>
      </c>
      <c r="C20" s="37">
        <v>5</v>
      </c>
      <c r="D20" s="237"/>
      <c r="E20" s="128" t="s">
        <v>374</v>
      </c>
      <c r="F20" s="251"/>
      <c r="G20" s="298"/>
      <c r="H20" s="300"/>
      <c r="I20" s="310"/>
      <c r="J20" s="36" t="s">
        <v>26</v>
      </c>
      <c r="K20" s="37">
        <v>5</v>
      </c>
      <c r="L20" s="69"/>
    </row>
    <row r="21" spans="1:12" ht="66" customHeight="1" x14ac:dyDescent="0.25">
      <c r="A21" s="311" t="s">
        <v>31</v>
      </c>
      <c r="B21" s="32" t="s">
        <v>19</v>
      </c>
      <c r="C21" s="33">
        <v>1</v>
      </c>
      <c r="D21" s="291" t="s">
        <v>297</v>
      </c>
      <c r="E21" s="365"/>
      <c r="F21" s="125" t="s">
        <v>33</v>
      </c>
      <c r="G21" s="298"/>
      <c r="H21" s="300"/>
      <c r="I21" s="308" t="str">
        <f>A21</f>
        <v>Четверг 25.12.2025</v>
      </c>
      <c r="J21" s="32" t="s">
        <v>19</v>
      </c>
      <c r="K21" s="71">
        <v>1</v>
      </c>
    </row>
    <row r="22" spans="1:12" ht="76.900000000000006" customHeight="1" x14ac:dyDescent="0.25">
      <c r="A22" s="306"/>
      <c r="B22" s="34" t="s">
        <v>21</v>
      </c>
      <c r="C22" s="35">
        <v>2</v>
      </c>
      <c r="D22" s="126"/>
      <c r="E22" s="294" t="s">
        <v>393</v>
      </c>
      <c r="F22" s="238"/>
      <c r="G22" s="298"/>
      <c r="H22" s="300"/>
      <c r="I22" s="309"/>
      <c r="J22" s="34" t="s">
        <v>21</v>
      </c>
      <c r="K22" s="35">
        <v>2</v>
      </c>
      <c r="L22" s="69"/>
    </row>
    <row r="23" spans="1:12" ht="60.75" customHeight="1" x14ac:dyDescent="0.25">
      <c r="A23" s="306"/>
      <c r="B23" s="34" t="s">
        <v>22</v>
      </c>
      <c r="C23" s="35">
        <v>3</v>
      </c>
      <c r="D23" s="126"/>
      <c r="E23" s="135"/>
      <c r="F23" s="239"/>
      <c r="G23" s="298"/>
      <c r="H23" s="300"/>
      <c r="I23" s="309"/>
      <c r="J23" s="34" t="s">
        <v>22</v>
      </c>
      <c r="K23" s="35">
        <v>3</v>
      </c>
      <c r="L23" s="69"/>
    </row>
    <row r="24" spans="1:12" ht="63.75" customHeight="1" x14ac:dyDescent="0.25">
      <c r="A24" s="306"/>
      <c r="B24" s="34" t="s">
        <v>23</v>
      </c>
      <c r="C24" s="35">
        <v>4</v>
      </c>
      <c r="D24" s="126"/>
      <c r="E24" s="125"/>
      <c r="F24" s="128"/>
      <c r="G24" s="298"/>
      <c r="H24" s="300"/>
      <c r="I24" s="309"/>
      <c r="J24" s="34" t="s">
        <v>23</v>
      </c>
      <c r="K24" s="35">
        <v>4</v>
      </c>
      <c r="L24" s="69"/>
    </row>
    <row r="25" spans="1:12" ht="69.75" customHeight="1" thickBot="1" x14ac:dyDescent="0.3">
      <c r="A25" s="312"/>
      <c r="B25" s="36" t="s">
        <v>26</v>
      </c>
      <c r="C25" s="38">
        <v>5</v>
      </c>
      <c r="D25" s="128"/>
      <c r="E25" s="127"/>
      <c r="F25" s="237"/>
      <c r="G25" s="298"/>
      <c r="H25" s="300"/>
      <c r="I25" s="310"/>
      <c r="J25" s="36" t="s">
        <v>26</v>
      </c>
      <c r="K25" s="38">
        <v>5</v>
      </c>
      <c r="L25" s="69"/>
    </row>
    <row r="26" spans="1:12" ht="80.25" customHeight="1" x14ac:dyDescent="0.25">
      <c r="A26" s="311" t="s">
        <v>34</v>
      </c>
      <c r="B26" s="32" t="s">
        <v>19</v>
      </c>
      <c r="C26" s="33">
        <v>1</v>
      </c>
      <c r="D26" s="51" t="s">
        <v>28</v>
      </c>
      <c r="E26" s="125"/>
      <c r="F26" s="125"/>
      <c r="G26" s="298"/>
      <c r="H26" s="299"/>
      <c r="I26" s="308" t="str">
        <f>A26</f>
        <v>Пятница 26.12.2025</v>
      </c>
      <c r="J26" s="32" t="s">
        <v>19</v>
      </c>
      <c r="K26" s="33">
        <v>1</v>
      </c>
      <c r="L26" s="69"/>
    </row>
    <row r="27" spans="1:12" ht="67.5" customHeight="1" x14ac:dyDescent="0.25">
      <c r="A27" s="306"/>
      <c r="B27" s="34" t="s">
        <v>21</v>
      </c>
      <c r="C27" s="35">
        <v>2</v>
      </c>
      <c r="D27" s="126" t="s">
        <v>409</v>
      </c>
      <c r="E27" s="126" t="s">
        <v>410</v>
      </c>
      <c r="F27" s="126"/>
      <c r="G27" s="298"/>
      <c r="H27" s="300"/>
      <c r="I27" s="309"/>
      <c r="J27" s="34" t="s">
        <v>21</v>
      </c>
      <c r="K27" s="35">
        <v>2</v>
      </c>
      <c r="L27" s="69"/>
    </row>
    <row r="28" spans="1:12" ht="81.75" customHeight="1" x14ac:dyDescent="0.25">
      <c r="A28" s="306"/>
      <c r="B28" s="34" t="s">
        <v>22</v>
      </c>
      <c r="C28" s="35">
        <v>3</v>
      </c>
      <c r="D28" s="126"/>
      <c r="E28" s="126" t="s">
        <v>410</v>
      </c>
      <c r="F28" s="126"/>
      <c r="G28" s="369" t="s">
        <v>319</v>
      </c>
      <c r="H28" s="369" t="s">
        <v>320</v>
      </c>
      <c r="I28" s="309"/>
      <c r="J28" s="34" t="s">
        <v>22</v>
      </c>
      <c r="K28" s="35">
        <v>3</v>
      </c>
      <c r="L28" s="69"/>
    </row>
    <row r="29" spans="1:12" ht="64.5" customHeight="1" x14ac:dyDescent="0.25">
      <c r="A29" s="306"/>
      <c r="B29" s="34" t="s">
        <v>23</v>
      </c>
      <c r="C29" s="35">
        <v>4</v>
      </c>
      <c r="D29" s="126"/>
      <c r="E29" s="126" t="s">
        <v>411</v>
      </c>
      <c r="F29" s="126"/>
      <c r="G29" s="298"/>
      <c r="H29" s="300"/>
      <c r="I29" s="309"/>
      <c r="J29" s="34" t="s">
        <v>23</v>
      </c>
      <c r="K29" s="35">
        <v>4</v>
      </c>
      <c r="L29" s="69"/>
    </row>
    <row r="30" spans="1:12" ht="64.5" customHeight="1" thickBot="1" x14ac:dyDescent="0.3">
      <c r="A30" s="312"/>
      <c r="B30" s="36" t="s">
        <v>26</v>
      </c>
      <c r="C30" s="37">
        <v>5</v>
      </c>
      <c r="D30" s="127"/>
      <c r="E30" s="127" t="s">
        <v>412</v>
      </c>
      <c r="F30" s="251"/>
      <c r="G30" s="298"/>
      <c r="H30" s="300"/>
      <c r="I30" s="310"/>
      <c r="J30" s="36" t="s">
        <v>26</v>
      </c>
      <c r="K30" s="37">
        <v>5</v>
      </c>
      <c r="L30" s="69"/>
    </row>
    <row r="31" spans="1:12" ht="51" customHeight="1" thickBot="1" x14ac:dyDescent="0.3">
      <c r="A31" s="305" t="s">
        <v>35</v>
      </c>
      <c r="B31" s="32" t="s">
        <v>19</v>
      </c>
      <c r="C31" s="33">
        <v>1</v>
      </c>
      <c r="D31" s="125"/>
      <c r="E31" s="136"/>
      <c r="F31" s="136"/>
      <c r="G31" s="298"/>
      <c r="H31" s="299"/>
      <c r="I31" s="308" t="str">
        <f>A31</f>
        <v>Суббота 27.12.2025</v>
      </c>
      <c r="J31" s="32" t="s">
        <v>19</v>
      </c>
      <c r="K31" s="33">
        <v>1</v>
      </c>
      <c r="L31" s="69"/>
    </row>
    <row r="32" spans="1:12" ht="72.75" customHeight="1" x14ac:dyDescent="0.25">
      <c r="A32" s="306"/>
      <c r="B32" s="34" t="s">
        <v>21</v>
      </c>
      <c r="C32" s="35">
        <v>2</v>
      </c>
      <c r="D32" s="126"/>
      <c r="E32" s="128"/>
      <c r="F32" s="126"/>
      <c r="G32" s="298"/>
      <c r="H32" s="299"/>
      <c r="I32" s="309"/>
      <c r="J32" s="34" t="s">
        <v>21</v>
      </c>
      <c r="K32" s="35">
        <v>2</v>
      </c>
      <c r="L32" s="69"/>
    </row>
    <row r="33" spans="1:12" ht="68.25" customHeight="1" x14ac:dyDescent="0.25">
      <c r="A33" s="306"/>
      <c r="B33" s="34" t="s">
        <v>22</v>
      </c>
      <c r="C33" s="35">
        <v>3</v>
      </c>
      <c r="D33" s="126"/>
      <c r="E33" s="128"/>
      <c r="F33" s="126"/>
      <c r="G33" s="298"/>
      <c r="H33" s="299"/>
      <c r="I33" s="309"/>
      <c r="J33" s="34" t="s">
        <v>22</v>
      </c>
      <c r="K33" s="35">
        <v>3</v>
      </c>
      <c r="L33" s="69"/>
    </row>
    <row r="34" spans="1:12" ht="51.75" customHeight="1" x14ac:dyDescent="0.25">
      <c r="A34" s="306"/>
      <c r="B34" s="34" t="s">
        <v>23</v>
      </c>
      <c r="C34" s="35">
        <v>4</v>
      </c>
      <c r="D34" s="126"/>
      <c r="E34" s="128"/>
      <c r="F34" s="133"/>
      <c r="G34" s="298"/>
      <c r="H34" s="299"/>
      <c r="I34" s="309"/>
      <c r="J34" s="34" t="s">
        <v>23</v>
      </c>
      <c r="K34" s="70">
        <v>4</v>
      </c>
    </row>
    <row r="35" spans="1:12" ht="53.25" customHeight="1" thickBot="1" x14ac:dyDescent="0.3">
      <c r="A35" s="307"/>
      <c r="B35" s="36" t="s">
        <v>26</v>
      </c>
      <c r="C35" s="37">
        <v>5</v>
      </c>
      <c r="D35" s="128"/>
      <c r="E35" s="134"/>
      <c r="F35" s="134"/>
      <c r="G35" s="298"/>
      <c r="H35" s="299"/>
      <c r="I35" s="310"/>
      <c r="J35" s="36" t="s">
        <v>26</v>
      </c>
      <c r="K35" s="37">
        <v>5</v>
      </c>
      <c r="L35" s="69"/>
    </row>
    <row r="36" spans="1:12" x14ac:dyDescent="0.25">
      <c r="D36" s="130"/>
      <c r="E36" s="137"/>
      <c r="F36" s="137"/>
      <c r="G36" s="195"/>
      <c r="H36" s="195"/>
    </row>
  </sheetData>
  <mergeCells count="19">
    <mergeCell ref="J1:J4"/>
    <mergeCell ref="A1:A4"/>
    <mergeCell ref="C1:C4"/>
    <mergeCell ref="K1:K4"/>
    <mergeCell ref="A26:A30"/>
    <mergeCell ref="I6:I10"/>
    <mergeCell ref="B1:B4"/>
    <mergeCell ref="A31:A35"/>
    <mergeCell ref="I31:I35"/>
    <mergeCell ref="I11:I15"/>
    <mergeCell ref="A11:A15"/>
    <mergeCell ref="I1:I4"/>
    <mergeCell ref="A6:A10"/>
    <mergeCell ref="I26:I30"/>
    <mergeCell ref="A16:A20"/>
    <mergeCell ref="D5:H5"/>
    <mergeCell ref="I16:I20"/>
    <mergeCell ref="A21:A25"/>
    <mergeCell ref="I21:I25"/>
  </mergeCells>
  <pageMargins left="0" right="0" top="0" bottom="0" header="0" footer="0"/>
  <pageSetup paperSize="9" scale="4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V36"/>
  <sheetViews>
    <sheetView zoomScale="40" zoomScaleNormal="40" zoomScaleSheetLayoutView="40" workbookViewId="0">
      <pane xSplit="3" ySplit="4" topLeftCell="D23" activePane="bottomRight" state="frozen"/>
      <selection pane="topRight" activeCell="D1" sqref="D1"/>
      <selection pane="bottomLeft" activeCell="A5" sqref="A5"/>
      <selection pane="bottomRight" activeCell="K21" sqref="K21"/>
    </sheetView>
  </sheetViews>
  <sheetFormatPr defaultColWidth="9.140625" defaultRowHeight="21" x14ac:dyDescent="0.35"/>
  <cols>
    <col min="1" max="1" width="6.42578125" style="14" customWidth="1"/>
    <col min="2" max="3" width="9.140625" style="14" customWidth="1"/>
    <col min="4" max="4" width="36.7109375" style="67" customWidth="1"/>
    <col min="5" max="5" width="37.85546875" style="67" customWidth="1"/>
    <col min="6" max="6" width="39.7109375" style="28" customWidth="1"/>
    <col min="7" max="7" width="42" style="27" customWidth="1"/>
    <col min="8" max="8" width="41.85546875" style="67" customWidth="1"/>
    <col min="9" max="9" width="41.7109375" style="67" customWidth="1"/>
    <col min="10" max="10" width="41.7109375" style="104" customWidth="1"/>
    <col min="11" max="11" width="40.5703125" style="67" customWidth="1"/>
    <col min="12" max="12" width="41.7109375" style="67" customWidth="1"/>
    <col min="13" max="14" width="41.85546875" style="67" customWidth="1"/>
    <col min="15" max="16" width="40.42578125" style="67" customWidth="1"/>
    <col min="17" max="17" width="40" style="67" customWidth="1"/>
    <col min="18" max="18" width="42.140625" style="28" customWidth="1"/>
    <col min="19" max="19" width="6.42578125" style="14" customWidth="1"/>
    <col min="20" max="20" width="9.140625" style="14" customWidth="1"/>
    <col min="21" max="16384" width="9.140625" style="14"/>
  </cols>
  <sheetData>
    <row r="1" spans="1:22" ht="42" customHeight="1" thickBot="1" x14ac:dyDescent="0.4">
      <c r="A1" s="326" t="s">
        <v>0</v>
      </c>
      <c r="B1" s="326" t="s">
        <v>1</v>
      </c>
      <c r="C1" s="335" t="s">
        <v>2</v>
      </c>
      <c r="D1" s="83" t="s">
        <v>36</v>
      </c>
      <c r="E1" s="83" t="s">
        <v>37</v>
      </c>
      <c r="F1" s="13" t="s">
        <v>38</v>
      </c>
      <c r="G1" s="90" t="s">
        <v>39</v>
      </c>
      <c r="H1" s="83" t="s">
        <v>40</v>
      </c>
      <c r="I1" s="83" t="s">
        <v>41</v>
      </c>
      <c r="J1" s="83" t="s">
        <v>42</v>
      </c>
      <c r="K1" s="83" t="s">
        <v>43</v>
      </c>
      <c r="L1" s="83" t="s">
        <v>44</v>
      </c>
      <c r="M1" s="83" t="s">
        <v>45</v>
      </c>
      <c r="N1" s="83" t="s">
        <v>46</v>
      </c>
      <c r="O1" s="83" t="s">
        <v>47</v>
      </c>
      <c r="P1" s="105" t="s">
        <v>48</v>
      </c>
      <c r="Q1" s="105" t="s">
        <v>49</v>
      </c>
      <c r="R1" s="61" t="s">
        <v>50</v>
      </c>
      <c r="S1" s="328" t="s">
        <v>0</v>
      </c>
      <c r="T1" s="326" t="s">
        <v>1</v>
      </c>
      <c r="U1" s="326" t="s">
        <v>2</v>
      </c>
    </row>
    <row r="2" spans="1:22" ht="125.25" customHeight="1" x14ac:dyDescent="0.35">
      <c r="A2" s="320"/>
      <c r="B2" s="320"/>
      <c r="C2" s="323"/>
      <c r="D2" s="98" t="s">
        <v>51</v>
      </c>
      <c r="E2" s="98" t="s">
        <v>52</v>
      </c>
      <c r="F2" s="15" t="s">
        <v>53</v>
      </c>
      <c r="G2" s="91" t="s">
        <v>54</v>
      </c>
      <c r="H2" s="98" t="s">
        <v>55</v>
      </c>
      <c r="I2" s="98" t="s">
        <v>56</v>
      </c>
      <c r="J2" s="98" t="s">
        <v>57</v>
      </c>
      <c r="K2" s="98" t="s">
        <v>57</v>
      </c>
      <c r="L2" s="98" t="s">
        <v>10</v>
      </c>
      <c r="M2" s="98" t="s">
        <v>10</v>
      </c>
      <c r="N2" s="98" t="s">
        <v>58</v>
      </c>
      <c r="O2" s="98" t="s">
        <v>9</v>
      </c>
      <c r="P2" s="62" t="s">
        <v>8</v>
      </c>
      <c r="Q2" s="194" t="s">
        <v>8</v>
      </c>
      <c r="R2" s="107" t="s">
        <v>59</v>
      </c>
      <c r="S2" s="309"/>
      <c r="T2" s="320"/>
      <c r="U2" s="320"/>
    </row>
    <row r="3" spans="1:22" ht="42" customHeight="1" x14ac:dyDescent="0.35">
      <c r="A3" s="320"/>
      <c r="B3" s="320"/>
      <c r="C3" s="323"/>
      <c r="D3" s="93" t="s">
        <v>60</v>
      </c>
      <c r="E3" s="98" t="s">
        <v>61</v>
      </c>
      <c r="F3" s="15" t="s">
        <v>62</v>
      </c>
      <c r="G3" s="91" t="s">
        <v>63</v>
      </c>
      <c r="H3" s="98" t="s">
        <v>64</v>
      </c>
      <c r="I3" s="98" t="s">
        <v>65</v>
      </c>
      <c r="J3" s="93" t="s">
        <v>66</v>
      </c>
      <c r="K3" s="93" t="s">
        <v>67</v>
      </c>
      <c r="L3" s="93" t="s">
        <v>68</v>
      </c>
      <c r="M3" s="93" t="s">
        <v>69</v>
      </c>
      <c r="N3" s="93" t="s">
        <v>70</v>
      </c>
      <c r="O3" s="93" t="s">
        <v>71</v>
      </c>
      <c r="P3" s="150" t="s">
        <v>72</v>
      </c>
      <c r="Q3" s="106" t="s">
        <v>73</v>
      </c>
      <c r="R3" s="151" t="s">
        <v>74</v>
      </c>
      <c r="S3" s="309"/>
      <c r="T3" s="320"/>
      <c r="U3" s="320"/>
    </row>
    <row r="4" spans="1:22" x14ac:dyDescent="0.35">
      <c r="A4" s="320"/>
      <c r="B4" s="320"/>
      <c r="C4" s="323"/>
      <c r="D4" s="93">
        <v>12</v>
      </c>
      <c r="E4" s="93">
        <v>17</v>
      </c>
      <c r="F4" s="16">
        <v>45</v>
      </c>
      <c r="G4" s="92">
        <v>30</v>
      </c>
      <c r="H4" s="93">
        <v>51</v>
      </c>
      <c r="I4" s="93">
        <v>11</v>
      </c>
      <c r="J4" s="93">
        <v>27</v>
      </c>
      <c r="K4" s="93">
        <v>27</v>
      </c>
      <c r="L4" s="93">
        <v>13</v>
      </c>
      <c r="M4" s="93">
        <v>25</v>
      </c>
      <c r="N4" s="93">
        <v>3</v>
      </c>
      <c r="O4" s="93">
        <v>37</v>
      </c>
      <c r="P4" s="93">
        <v>25</v>
      </c>
      <c r="Q4" s="93">
        <v>31</v>
      </c>
      <c r="R4" s="16">
        <v>7</v>
      </c>
      <c r="S4" s="309"/>
      <c r="T4" s="320"/>
      <c r="U4" s="320"/>
    </row>
    <row r="5" spans="1:22" ht="42" customHeight="1" thickBot="1" x14ac:dyDescent="0.4">
      <c r="A5" s="321"/>
      <c r="B5" s="321"/>
      <c r="C5" s="324"/>
      <c r="D5" s="332" t="str">
        <f>'4к 9кл, 3к 11кл'!D5:H5</f>
        <v>17 неделя</v>
      </c>
      <c r="E5" s="333"/>
      <c r="F5" s="333"/>
      <c r="G5" s="333"/>
      <c r="H5" s="333"/>
      <c r="I5" s="333"/>
      <c r="J5" s="333"/>
      <c r="K5" s="333"/>
      <c r="L5" s="333"/>
      <c r="M5" s="333"/>
      <c r="N5" s="333"/>
      <c r="O5" s="333"/>
      <c r="P5" s="333"/>
      <c r="Q5" s="333"/>
      <c r="R5" s="334"/>
      <c r="S5" s="314"/>
      <c r="T5" s="321"/>
      <c r="U5" s="321"/>
    </row>
    <row r="6" spans="1:22" ht="219.75" customHeight="1" x14ac:dyDescent="0.35">
      <c r="A6" s="327" t="str">
        <f>'4к 9кл, 3к 11кл'!A6:A10</f>
        <v>Понедельник 22.12.2025</v>
      </c>
      <c r="B6" s="25" t="s">
        <v>19</v>
      </c>
      <c r="C6" s="26">
        <v>1</v>
      </c>
      <c r="D6" s="259"/>
      <c r="E6" s="259"/>
      <c r="F6" s="259"/>
      <c r="G6" s="259"/>
      <c r="H6" s="259"/>
      <c r="I6" s="259"/>
      <c r="J6" s="292" t="s">
        <v>75</v>
      </c>
      <c r="K6" s="88" t="s">
        <v>76</v>
      </c>
      <c r="L6" s="222"/>
      <c r="M6" s="222" t="s">
        <v>77</v>
      </c>
      <c r="N6" s="264"/>
      <c r="O6" s="292" t="s">
        <v>78</v>
      </c>
      <c r="P6" s="101"/>
      <c r="Q6" s="264"/>
      <c r="R6" s="222"/>
      <c r="S6" s="330" t="str">
        <f>'4к 9кл, 3к 11кл'!A6:A10</f>
        <v>Понедельник 22.12.2025</v>
      </c>
      <c r="T6" s="25" t="s">
        <v>19</v>
      </c>
      <c r="U6" s="49">
        <v>1</v>
      </c>
    </row>
    <row r="7" spans="1:22" ht="238.5" customHeight="1" x14ac:dyDescent="0.35">
      <c r="A7" s="306"/>
      <c r="B7" s="17" t="s">
        <v>21</v>
      </c>
      <c r="C7" s="18">
        <v>2</v>
      </c>
      <c r="D7" s="224"/>
      <c r="E7" s="89"/>
      <c r="F7" s="89"/>
      <c r="G7" s="89"/>
      <c r="H7" s="89"/>
      <c r="I7" s="89"/>
      <c r="J7" s="247"/>
      <c r="K7" s="100" t="s">
        <v>328</v>
      </c>
      <c r="L7" s="89"/>
      <c r="M7" s="202"/>
      <c r="N7" s="303" t="s">
        <v>322</v>
      </c>
      <c r="O7" s="100"/>
      <c r="P7" s="100"/>
      <c r="Q7" s="221"/>
      <c r="R7" s="224"/>
      <c r="S7" s="309"/>
      <c r="T7" s="17" t="s">
        <v>21</v>
      </c>
      <c r="U7" s="18">
        <v>2</v>
      </c>
      <c r="V7" s="67"/>
    </row>
    <row r="8" spans="1:22" ht="196.5" customHeight="1" x14ac:dyDescent="0.35">
      <c r="A8" s="306"/>
      <c r="B8" s="17" t="s">
        <v>22</v>
      </c>
      <c r="C8" s="18">
        <v>3</v>
      </c>
      <c r="D8" s="253"/>
      <c r="E8" s="253"/>
      <c r="F8" s="9"/>
      <c r="G8" s="254"/>
      <c r="H8" s="255"/>
      <c r="I8" s="255"/>
      <c r="J8" s="202"/>
      <c r="K8" s="100"/>
      <c r="L8" s="254"/>
      <c r="M8" s="202"/>
      <c r="N8" s="100"/>
      <c r="O8" s="100"/>
      <c r="P8" s="100"/>
      <c r="Q8" s="303" t="s">
        <v>78</v>
      </c>
      <c r="R8" s="224"/>
      <c r="S8" s="309"/>
      <c r="T8" s="17" t="s">
        <v>22</v>
      </c>
      <c r="U8" s="18">
        <v>3</v>
      </c>
      <c r="V8" s="67"/>
    </row>
    <row r="9" spans="1:22" ht="228" customHeight="1" x14ac:dyDescent="0.35">
      <c r="A9" s="306"/>
      <c r="B9" s="17" t="s">
        <v>23</v>
      </c>
      <c r="C9" s="18">
        <v>4</v>
      </c>
      <c r="D9" s="224"/>
      <c r="E9" s="89"/>
      <c r="F9" s="224"/>
      <c r="G9" s="89"/>
      <c r="H9" s="89"/>
      <c r="I9" s="89"/>
      <c r="J9" s="202"/>
      <c r="K9" s="95"/>
      <c r="L9" s="89"/>
      <c r="M9" s="260"/>
      <c r="N9" s="100"/>
      <c r="O9" s="221"/>
      <c r="P9" s="102"/>
      <c r="Q9" s="95"/>
      <c r="R9" s="224"/>
      <c r="S9" s="309"/>
      <c r="T9" s="17" t="s">
        <v>23</v>
      </c>
      <c r="U9" s="18">
        <v>4</v>
      </c>
      <c r="V9" s="67"/>
    </row>
    <row r="10" spans="1:22" ht="189" customHeight="1" thickBot="1" x14ac:dyDescent="0.4">
      <c r="A10" s="306"/>
      <c r="B10" s="19" t="s">
        <v>26</v>
      </c>
      <c r="C10" s="20">
        <v>5</v>
      </c>
      <c r="D10" s="256"/>
      <c r="E10" s="256"/>
      <c r="F10" s="226"/>
      <c r="G10" s="256"/>
      <c r="H10" s="226"/>
      <c r="I10" s="226"/>
      <c r="K10" s="102"/>
      <c r="L10" s="223"/>
      <c r="M10" s="261"/>
      <c r="N10" s="102"/>
      <c r="O10" s="263"/>
      <c r="P10" s="226"/>
      <c r="S10" s="309"/>
      <c r="T10" s="19" t="s">
        <v>26</v>
      </c>
      <c r="U10" s="175">
        <v>5</v>
      </c>
    </row>
    <row r="11" spans="1:22" ht="215.25" customHeight="1" x14ac:dyDescent="0.35">
      <c r="A11" s="329" t="str">
        <f>'4к 9кл, 3к 11кл'!A11:A15</f>
        <v>Вторник 23.12.2025</v>
      </c>
      <c r="B11" s="21" t="s">
        <v>19</v>
      </c>
      <c r="C11" s="22">
        <v>1</v>
      </c>
      <c r="D11" s="247"/>
      <c r="E11" s="247"/>
      <c r="F11" s="257"/>
      <c r="G11" s="247"/>
      <c r="H11" s="247"/>
      <c r="I11" s="247"/>
      <c r="J11" s="292" t="s">
        <v>381</v>
      </c>
      <c r="K11" s="176"/>
      <c r="L11" s="222"/>
      <c r="M11" s="285" t="s">
        <v>359</v>
      </c>
      <c r="N11" s="97"/>
      <c r="O11" s="292" t="s">
        <v>79</v>
      </c>
      <c r="P11" s="292" t="s">
        <v>78</v>
      </c>
      <c r="Q11" s="292" t="s">
        <v>80</v>
      </c>
      <c r="R11" s="88"/>
      <c r="S11" s="331" t="str">
        <f>'4к 9кл, 3к 11кл'!A11:A15</f>
        <v>Вторник 23.12.2025</v>
      </c>
      <c r="T11" s="21" t="s">
        <v>19</v>
      </c>
      <c r="U11" s="22">
        <v>1</v>
      </c>
      <c r="V11" s="67"/>
    </row>
    <row r="12" spans="1:22" ht="198" customHeight="1" x14ac:dyDescent="0.35">
      <c r="A12" s="306"/>
      <c r="B12" s="17" t="s">
        <v>21</v>
      </c>
      <c r="C12" s="18">
        <v>2</v>
      </c>
      <c r="D12" s="224"/>
      <c r="E12" s="89"/>
      <c r="F12" s="89"/>
      <c r="G12" s="89"/>
      <c r="H12" s="89"/>
      <c r="I12" s="89"/>
      <c r="J12" s="89"/>
      <c r="K12" s="303" t="s">
        <v>381</v>
      </c>
      <c r="L12" s="89"/>
      <c r="M12" s="286" t="s">
        <v>359</v>
      </c>
      <c r="N12" s="100"/>
      <c r="O12" s="94"/>
      <c r="P12" s="100"/>
      <c r="Q12" s="95"/>
      <c r="R12" s="224"/>
      <c r="S12" s="309"/>
      <c r="T12" s="17" t="s">
        <v>21</v>
      </c>
      <c r="U12" s="18">
        <v>2</v>
      </c>
      <c r="V12" s="67"/>
    </row>
    <row r="13" spans="1:22" ht="213" customHeight="1" x14ac:dyDescent="0.35">
      <c r="A13" s="306"/>
      <c r="B13" s="17" t="s">
        <v>22</v>
      </c>
      <c r="C13" s="18">
        <v>3</v>
      </c>
      <c r="D13" s="224"/>
      <c r="E13" s="89"/>
      <c r="F13" s="89"/>
      <c r="G13" s="89"/>
      <c r="H13" s="89"/>
      <c r="I13" s="89"/>
      <c r="J13" s="201"/>
      <c r="K13" s="99"/>
      <c r="L13" s="89"/>
      <c r="M13" s="287" t="s">
        <v>361</v>
      </c>
      <c r="O13" s="100"/>
      <c r="P13" s="100"/>
      <c r="Q13" s="95"/>
      <c r="R13" s="224"/>
      <c r="S13" s="309"/>
      <c r="T13" s="17" t="s">
        <v>22</v>
      </c>
      <c r="U13" s="18">
        <v>3</v>
      </c>
      <c r="V13" s="67"/>
    </row>
    <row r="14" spans="1:22" ht="232.5" customHeight="1" x14ac:dyDescent="0.35">
      <c r="A14" s="306"/>
      <c r="B14" s="17" t="s">
        <v>23</v>
      </c>
      <c r="C14" s="18">
        <v>4</v>
      </c>
      <c r="D14" s="224"/>
      <c r="E14" s="89"/>
      <c r="F14" s="224"/>
      <c r="G14" s="89"/>
      <c r="H14" s="89"/>
      <c r="I14" s="89"/>
      <c r="J14" s="202"/>
      <c r="K14" s="95"/>
      <c r="L14" s="89"/>
      <c r="M14" s="202" t="s">
        <v>360</v>
      </c>
      <c r="N14" s="100"/>
      <c r="O14" s="100"/>
      <c r="P14" s="95"/>
      <c r="Q14" s="95"/>
      <c r="R14" s="224"/>
      <c r="S14" s="309"/>
      <c r="T14" s="17" t="s">
        <v>23</v>
      </c>
      <c r="U14" s="18">
        <v>4</v>
      </c>
      <c r="V14" s="67"/>
    </row>
    <row r="15" spans="1:22" ht="240.75" customHeight="1" thickBot="1" x14ac:dyDescent="0.4">
      <c r="A15" s="312"/>
      <c r="B15" s="19" t="s">
        <v>26</v>
      </c>
      <c r="C15" s="20">
        <v>5</v>
      </c>
      <c r="D15" s="256"/>
      <c r="E15" s="256"/>
      <c r="F15" s="226"/>
      <c r="G15" s="256"/>
      <c r="H15" s="226"/>
      <c r="I15" s="226"/>
      <c r="J15" s="206"/>
      <c r="K15" s="102"/>
      <c r="L15" s="223"/>
      <c r="M15" s="226"/>
      <c r="N15" s="223"/>
      <c r="O15" s="102"/>
      <c r="P15" s="102"/>
      <c r="Q15" s="96"/>
      <c r="R15" s="225"/>
      <c r="S15" s="310"/>
      <c r="T15" s="19" t="s">
        <v>26</v>
      </c>
      <c r="U15" s="20">
        <v>5</v>
      </c>
      <c r="V15" s="67"/>
    </row>
    <row r="16" spans="1:22" ht="219" customHeight="1" thickBot="1" x14ac:dyDescent="0.4">
      <c r="A16" s="327" t="str">
        <f>'4к 9кл, 3к 11кл'!A16:A20</f>
        <v>Среда 24.12.2025</v>
      </c>
      <c r="B16" s="21" t="s">
        <v>19</v>
      </c>
      <c r="C16" s="22">
        <v>1</v>
      </c>
      <c r="D16" s="247"/>
      <c r="E16" s="257"/>
      <c r="F16" s="257"/>
      <c r="G16" s="257"/>
      <c r="H16" s="247"/>
      <c r="I16" s="247"/>
      <c r="J16" s="292" t="s">
        <v>81</v>
      </c>
      <c r="K16" s="359"/>
      <c r="L16" s="222"/>
      <c r="M16" s="257" t="s">
        <v>364</v>
      </c>
      <c r="N16" s="232"/>
      <c r="O16" s="292" t="s">
        <v>80</v>
      </c>
      <c r="P16" s="232"/>
      <c r="Q16" s="97"/>
      <c r="R16" s="222"/>
      <c r="S16" s="330" t="str">
        <f>'4к 9кл, 3к 11кл'!A16:A20</f>
        <v>Среда 24.12.2025</v>
      </c>
      <c r="T16" s="21" t="s">
        <v>19</v>
      </c>
      <c r="U16" s="22">
        <v>1</v>
      </c>
      <c r="V16" s="67"/>
    </row>
    <row r="17" spans="1:22" ht="190.5" customHeight="1" x14ac:dyDescent="0.35">
      <c r="A17" s="306"/>
      <c r="B17" s="17" t="s">
        <v>21</v>
      </c>
      <c r="C17" s="18">
        <v>2</v>
      </c>
      <c r="D17" s="224"/>
      <c r="E17" s="89"/>
      <c r="F17" s="89"/>
      <c r="G17" s="89"/>
      <c r="H17" s="89"/>
      <c r="I17" s="89"/>
      <c r="J17" s="202"/>
      <c r="K17" s="303"/>
      <c r="L17" s="89"/>
      <c r="M17" s="221"/>
      <c r="N17" s="202" t="s">
        <v>362</v>
      </c>
      <c r="O17" s="100"/>
      <c r="P17" s="292" t="s">
        <v>80</v>
      </c>
      <c r="Q17" s="95"/>
      <c r="R17" s="224"/>
      <c r="S17" s="309"/>
      <c r="T17" s="17" t="s">
        <v>21</v>
      </c>
      <c r="U17" s="68">
        <v>2</v>
      </c>
    </row>
    <row r="18" spans="1:22" ht="204" customHeight="1" x14ac:dyDescent="0.35">
      <c r="A18" s="306"/>
      <c r="B18" s="17" t="s">
        <v>22</v>
      </c>
      <c r="C18" s="18">
        <v>3</v>
      </c>
      <c r="D18" s="224"/>
      <c r="E18" s="89"/>
      <c r="F18" s="89"/>
      <c r="G18" s="89"/>
      <c r="H18" s="89"/>
      <c r="I18" s="89"/>
      <c r="J18" s="202"/>
      <c r="K18" s="100"/>
      <c r="L18" s="89"/>
      <c r="M18" s="221"/>
      <c r="N18" s="202" t="s">
        <v>363</v>
      </c>
      <c r="O18" s="100"/>
      <c r="P18" s="100"/>
      <c r="Q18" s="95"/>
      <c r="R18" s="224"/>
      <c r="S18" s="309"/>
      <c r="T18" s="17" t="s">
        <v>22</v>
      </c>
      <c r="U18" s="18">
        <v>3</v>
      </c>
      <c r="V18" s="67"/>
    </row>
    <row r="19" spans="1:22" ht="204" customHeight="1" x14ac:dyDescent="0.35">
      <c r="A19" s="306"/>
      <c r="B19" s="17" t="s">
        <v>23</v>
      </c>
      <c r="C19" s="18">
        <v>4</v>
      </c>
      <c r="D19" s="224"/>
      <c r="E19" s="89"/>
      <c r="F19" s="224"/>
      <c r="G19" s="89"/>
      <c r="H19" s="89"/>
      <c r="I19" s="89"/>
      <c r="J19" s="203"/>
      <c r="K19" s="95"/>
      <c r="L19" s="224"/>
      <c r="N19" s="287" t="s">
        <v>361</v>
      </c>
      <c r="O19" s="100"/>
      <c r="P19" s="95"/>
      <c r="Q19" s="95"/>
      <c r="R19" s="224"/>
      <c r="S19" s="309"/>
      <c r="T19" s="17" t="s">
        <v>23</v>
      </c>
      <c r="U19" s="68">
        <v>4</v>
      </c>
    </row>
    <row r="20" spans="1:22" ht="209.25" customHeight="1" thickBot="1" x14ac:dyDescent="0.4">
      <c r="A20" s="306"/>
      <c r="B20" s="23" t="s">
        <v>26</v>
      </c>
      <c r="C20" s="24">
        <v>5</v>
      </c>
      <c r="D20" s="256"/>
      <c r="E20" s="256"/>
      <c r="F20" s="226"/>
      <c r="G20" s="256"/>
      <c r="H20" s="226"/>
      <c r="I20" s="226"/>
      <c r="J20" s="206"/>
      <c r="K20" s="102"/>
      <c r="L20" s="225"/>
      <c r="M20" s="206"/>
      <c r="N20" s="102"/>
      <c r="O20" s="102"/>
      <c r="P20" s="102"/>
      <c r="Q20" s="96"/>
      <c r="R20" s="225"/>
      <c r="S20" s="309"/>
      <c r="T20" s="23" t="s">
        <v>26</v>
      </c>
      <c r="U20" s="24">
        <v>5</v>
      </c>
      <c r="V20" s="67"/>
    </row>
    <row r="21" spans="1:22" ht="162.75" customHeight="1" thickBot="1" x14ac:dyDescent="0.4">
      <c r="A21" s="329" t="str">
        <f>'4к 9кл, 3к 11кл'!A21:A25</f>
        <v>Четверг 25.12.2025</v>
      </c>
      <c r="B21" s="25" t="s">
        <v>19</v>
      </c>
      <c r="C21" s="26">
        <v>1</v>
      </c>
      <c r="D21" s="247"/>
      <c r="E21" s="257"/>
      <c r="F21" s="257"/>
      <c r="G21" s="257"/>
      <c r="H21" s="247"/>
      <c r="I21" s="247"/>
      <c r="J21" s="204"/>
      <c r="K21" s="292" t="s">
        <v>81</v>
      </c>
      <c r="L21" s="222"/>
      <c r="M21" s="262"/>
      <c r="N21" s="232"/>
      <c r="O21" s="88"/>
      <c r="P21" s="292" t="s">
        <v>82</v>
      </c>
      <c r="Q21" s="264"/>
      <c r="R21" s="264"/>
      <c r="S21" s="331" t="str">
        <f>'4к 9кл, 3к 11кл'!A21:A25</f>
        <v>Четверг 25.12.2025</v>
      </c>
      <c r="T21" s="25" t="s">
        <v>19</v>
      </c>
      <c r="U21" s="49">
        <v>1</v>
      </c>
    </row>
    <row r="22" spans="1:22" ht="210.75" customHeight="1" x14ac:dyDescent="0.35">
      <c r="A22" s="306"/>
      <c r="B22" s="17" t="s">
        <v>21</v>
      </c>
      <c r="C22" s="18">
        <v>2</v>
      </c>
      <c r="D22" s="224"/>
      <c r="E22" s="89"/>
      <c r="F22" s="89"/>
      <c r="G22" s="89"/>
      <c r="H22" s="89"/>
      <c r="I22" s="89"/>
      <c r="J22" s="100"/>
      <c r="K22" s="100"/>
      <c r="L22" s="89"/>
      <c r="M22" s="202"/>
      <c r="N22" s="100"/>
      <c r="O22" s="100"/>
      <c r="P22" s="100"/>
      <c r="Q22" s="292" t="s">
        <v>82</v>
      </c>
      <c r="R22" s="89"/>
      <c r="S22" s="309"/>
      <c r="T22" s="17" t="s">
        <v>21</v>
      </c>
      <c r="U22" s="68">
        <v>2</v>
      </c>
    </row>
    <row r="23" spans="1:22" ht="214.5" customHeight="1" x14ac:dyDescent="0.35">
      <c r="A23" s="306"/>
      <c r="B23" s="17" t="s">
        <v>22</v>
      </c>
      <c r="C23" s="18">
        <v>3</v>
      </c>
      <c r="D23" s="224"/>
      <c r="E23" s="89"/>
      <c r="F23" s="89"/>
      <c r="G23" s="89"/>
      <c r="H23" s="89"/>
      <c r="I23" s="89"/>
      <c r="J23" s="202"/>
      <c r="K23" s="100"/>
      <c r="L23" s="89"/>
      <c r="M23" s="202"/>
      <c r="N23" s="100"/>
      <c r="O23" s="102"/>
      <c r="P23" s="100"/>
      <c r="Q23" s="95"/>
      <c r="R23" s="224"/>
      <c r="S23" s="309"/>
      <c r="T23" s="17" t="s">
        <v>22</v>
      </c>
      <c r="U23" s="18">
        <v>3</v>
      </c>
      <c r="V23" s="67"/>
    </row>
    <row r="24" spans="1:22" ht="223.5" customHeight="1" x14ac:dyDescent="0.35">
      <c r="A24" s="306"/>
      <c r="B24" s="17" t="s">
        <v>23</v>
      </c>
      <c r="C24" s="18">
        <v>4</v>
      </c>
      <c r="D24" s="224"/>
      <c r="E24" s="224"/>
      <c r="F24" s="224"/>
      <c r="G24" s="224"/>
      <c r="H24" s="89"/>
      <c r="I24" s="89"/>
      <c r="J24" s="100"/>
      <c r="K24" s="95"/>
      <c r="L24" s="89"/>
      <c r="M24" s="202"/>
      <c r="N24" s="265"/>
      <c r="O24" s="100"/>
      <c r="P24" s="100"/>
      <c r="Q24" s="100"/>
      <c r="R24" s="89"/>
      <c r="S24" s="309"/>
      <c r="T24" s="17" t="s">
        <v>23</v>
      </c>
      <c r="U24" s="18">
        <v>4</v>
      </c>
      <c r="V24" s="67"/>
    </row>
    <row r="25" spans="1:22" ht="192" customHeight="1" thickBot="1" x14ac:dyDescent="0.4">
      <c r="A25" s="312"/>
      <c r="B25" s="19" t="s">
        <v>26</v>
      </c>
      <c r="C25" s="20">
        <v>5</v>
      </c>
      <c r="D25" s="256"/>
      <c r="E25" s="256"/>
      <c r="F25" s="226"/>
      <c r="G25" s="256"/>
      <c r="H25" s="226"/>
      <c r="I25" s="226"/>
      <c r="J25" s="206"/>
      <c r="K25" s="102"/>
      <c r="L25" s="223"/>
      <c r="M25" s="206"/>
      <c r="N25" s="102"/>
      <c r="O25" s="102"/>
      <c r="P25" s="102"/>
      <c r="Q25" s="96"/>
      <c r="R25" s="225"/>
      <c r="S25" s="310"/>
      <c r="T25" s="19" t="s">
        <v>26</v>
      </c>
      <c r="U25" s="20">
        <v>5</v>
      </c>
      <c r="V25" s="67"/>
    </row>
    <row r="26" spans="1:22" ht="166.9" customHeight="1" thickBot="1" x14ac:dyDescent="0.4">
      <c r="A26" s="327" t="str">
        <f>'4к 9кл, 3к 11кл'!A26:A30</f>
        <v>Пятница 26.12.2025</v>
      </c>
      <c r="B26" s="21" t="s">
        <v>19</v>
      </c>
      <c r="C26" s="22">
        <v>1</v>
      </c>
      <c r="D26" s="253" t="s">
        <v>83</v>
      </c>
      <c r="E26" s="253" t="s">
        <v>84</v>
      </c>
      <c r="F26" s="9" t="s">
        <v>85</v>
      </c>
      <c r="G26" s="254" t="s">
        <v>86</v>
      </c>
      <c r="H26" s="255" t="s">
        <v>87</v>
      </c>
      <c r="I26" s="255" t="s">
        <v>84</v>
      </c>
      <c r="J26" s="248"/>
      <c r="K26" s="250"/>
      <c r="L26" s="222" t="s">
        <v>87</v>
      </c>
      <c r="M26" s="204"/>
      <c r="N26" s="97"/>
      <c r="O26" s="222"/>
      <c r="P26" s="101"/>
      <c r="Q26" s="97"/>
      <c r="R26" s="266" t="s">
        <v>88</v>
      </c>
      <c r="S26" s="330" t="str">
        <f>'4к 9кл, 3к 11кл'!A26:A30</f>
        <v>Пятница 26.12.2025</v>
      </c>
      <c r="T26" s="21" t="s">
        <v>19</v>
      </c>
      <c r="U26" s="22">
        <v>1</v>
      </c>
      <c r="V26" s="67"/>
    </row>
    <row r="27" spans="1:22" ht="257.45" customHeight="1" x14ac:dyDescent="0.35">
      <c r="A27" s="306"/>
      <c r="B27" s="17" t="s">
        <v>21</v>
      </c>
      <c r="C27" s="18">
        <v>2</v>
      </c>
      <c r="D27" s="224"/>
      <c r="E27" s="89"/>
      <c r="F27" s="89"/>
      <c r="G27" s="89"/>
      <c r="H27" s="89"/>
      <c r="I27" s="89"/>
      <c r="J27" s="249"/>
      <c r="K27" s="292" t="s">
        <v>75</v>
      </c>
      <c r="L27" s="89"/>
      <c r="M27" s="202"/>
      <c r="N27" s="100"/>
      <c r="O27" s="89"/>
      <c r="P27" s="100"/>
      <c r="Q27" s="96"/>
      <c r="R27" s="225"/>
      <c r="S27" s="309"/>
      <c r="T27" s="17" t="s">
        <v>21</v>
      </c>
      <c r="U27" s="18">
        <v>2</v>
      </c>
      <c r="V27" s="67"/>
    </row>
    <row r="28" spans="1:22" ht="133.9" customHeight="1" x14ac:dyDescent="0.35">
      <c r="A28" s="306"/>
      <c r="B28" s="17" t="s">
        <v>22</v>
      </c>
      <c r="C28" s="18">
        <v>3</v>
      </c>
      <c r="D28" s="224"/>
      <c r="E28" s="89"/>
      <c r="F28" s="89"/>
      <c r="G28" s="89"/>
      <c r="H28" s="89"/>
      <c r="I28" s="89"/>
      <c r="J28" s="202"/>
      <c r="K28" s="100"/>
      <c r="L28" s="89"/>
      <c r="M28" s="202"/>
      <c r="N28" s="89"/>
      <c r="O28" s="100"/>
      <c r="P28" s="100"/>
      <c r="Q28" s="95"/>
      <c r="R28" s="224"/>
      <c r="S28" s="309"/>
      <c r="T28" s="17" t="s">
        <v>22</v>
      </c>
      <c r="U28" s="18">
        <v>3</v>
      </c>
      <c r="V28" s="67"/>
    </row>
    <row r="29" spans="1:22" ht="256.14999999999998" customHeight="1" x14ac:dyDescent="0.35">
      <c r="A29" s="306"/>
      <c r="B29" s="17" t="s">
        <v>23</v>
      </c>
      <c r="C29" s="18">
        <v>4</v>
      </c>
      <c r="D29" s="224"/>
      <c r="E29" s="89"/>
      <c r="F29" s="224"/>
      <c r="G29" s="89"/>
      <c r="H29" s="89"/>
      <c r="I29" s="89"/>
      <c r="J29" s="114"/>
      <c r="L29" s="89"/>
      <c r="M29" s="202"/>
      <c r="N29" s="100"/>
      <c r="O29" s="100"/>
      <c r="P29" s="95"/>
      <c r="Q29" s="96"/>
      <c r="R29" s="225"/>
      <c r="S29" s="309"/>
      <c r="T29" s="17" t="s">
        <v>23</v>
      </c>
      <c r="U29" s="18">
        <v>4</v>
      </c>
      <c r="V29" s="67"/>
    </row>
    <row r="30" spans="1:22" ht="237.75" customHeight="1" thickBot="1" x14ac:dyDescent="0.4">
      <c r="A30" s="306"/>
      <c r="B30" s="19" t="s">
        <v>26</v>
      </c>
      <c r="C30" s="20">
        <v>5</v>
      </c>
      <c r="D30" s="256"/>
      <c r="E30" s="256"/>
      <c r="F30" s="226"/>
      <c r="G30" s="256"/>
      <c r="H30" s="226"/>
      <c r="I30" s="226"/>
      <c r="J30" s="226"/>
      <c r="K30" s="102"/>
      <c r="L30" s="226"/>
      <c r="M30" s="206"/>
      <c r="N30" s="102"/>
      <c r="O30" s="102"/>
      <c r="Q30" s="225"/>
      <c r="R30" s="225"/>
      <c r="S30" s="309"/>
      <c r="T30" s="17" t="s">
        <v>26</v>
      </c>
      <c r="U30" s="68">
        <v>5</v>
      </c>
    </row>
    <row r="31" spans="1:22" ht="233.25" customHeight="1" x14ac:dyDescent="0.35">
      <c r="A31" s="329" t="str">
        <f>'4к 9кл, 3к 11кл'!A31:A35</f>
        <v>Суббота 27.12.2025</v>
      </c>
      <c r="B31" s="21" t="s">
        <v>19</v>
      </c>
      <c r="C31" s="22">
        <v>1</v>
      </c>
      <c r="D31" s="247"/>
      <c r="E31" s="257"/>
      <c r="F31" s="257"/>
      <c r="G31" s="257"/>
      <c r="H31" s="247"/>
      <c r="I31" s="247"/>
      <c r="J31" s="201"/>
      <c r="K31" s="101"/>
      <c r="L31" s="247"/>
      <c r="M31" s="204"/>
      <c r="N31" s="97"/>
      <c r="O31" s="97"/>
      <c r="P31" s="207"/>
      <c r="Q31" s="52"/>
      <c r="R31" s="52"/>
      <c r="S31" s="331" t="str">
        <f>'4к 9кл, 3к 11кл'!A31:A35</f>
        <v>Суббота 27.12.2025</v>
      </c>
      <c r="T31" s="17" t="s">
        <v>19</v>
      </c>
      <c r="U31" s="18">
        <v>1</v>
      </c>
      <c r="V31" s="67"/>
    </row>
    <row r="32" spans="1:22" ht="142.5" customHeight="1" x14ac:dyDescent="0.35">
      <c r="A32" s="306"/>
      <c r="B32" s="17" t="s">
        <v>21</v>
      </c>
      <c r="C32" s="18">
        <v>2</v>
      </c>
      <c r="D32" s="224"/>
      <c r="E32" s="89"/>
      <c r="F32" s="89"/>
      <c r="G32" s="89"/>
      <c r="H32" s="224"/>
      <c r="I32" s="224"/>
      <c r="J32" s="202"/>
      <c r="K32" s="100"/>
      <c r="L32" s="89"/>
      <c r="M32" s="203"/>
      <c r="N32" s="100"/>
      <c r="O32" s="95"/>
      <c r="P32" s="89"/>
      <c r="Q32" s="240"/>
      <c r="R32" s="240"/>
      <c r="S32" s="309"/>
      <c r="T32" s="17" t="s">
        <v>21</v>
      </c>
      <c r="U32" s="68">
        <v>2</v>
      </c>
    </row>
    <row r="33" spans="1:22" ht="173.25" customHeight="1" x14ac:dyDescent="0.35">
      <c r="A33" s="306"/>
      <c r="B33" s="17" t="s">
        <v>22</v>
      </c>
      <c r="C33" s="18">
        <v>3</v>
      </c>
      <c r="D33" s="224"/>
      <c r="E33" s="89"/>
      <c r="F33" s="89"/>
      <c r="G33" s="89"/>
      <c r="H33" s="224"/>
      <c r="I33" s="224"/>
      <c r="J33" s="202"/>
      <c r="K33" s="100"/>
      <c r="L33" s="89"/>
      <c r="M33" s="203"/>
      <c r="N33" s="100"/>
      <c r="O33" s="95"/>
      <c r="P33" s="100"/>
      <c r="Q33" s="221"/>
      <c r="R33" s="221"/>
      <c r="S33" s="309"/>
      <c r="T33" s="17" t="s">
        <v>22</v>
      </c>
      <c r="U33" s="68">
        <v>3</v>
      </c>
    </row>
    <row r="34" spans="1:22" ht="165.75" customHeight="1" x14ac:dyDescent="0.35">
      <c r="A34" s="306"/>
      <c r="B34" s="17" t="s">
        <v>23</v>
      </c>
      <c r="C34" s="18">
        <v>4</v>
      </c>
      <c r="D34" s="224"/>
      <c r="E34" s="89"/>
      <c r="F34" s="224"/>
      <c r="G34" s="89"/>
      <c r="H34" s="224"/>
      <c r="I34" s="224"/>
      <c r="J34" s="202"/>
      <c r="K34" s="95"/>
      <c r="L34" s="224"/>
      <c r="M34" s="203"/>
      <c r="N34" s="100"/>
      <c r="O34" s="100"/>
      <c r="P34" s="95"/>
      <c r="Q34" s="95"/>
      <c r="R34" s="224"/>
      <c r="S34" s="309"/>
      <c r="T34" s="17" t="s">
        <v>23</v>
      </c>
      <c r="U34" s="18">
        <v>4</v>
      </c>
      <c r="V34" s="67"/>
    </row>
    <row r="35" spans="1:22" ht="167.25" customHeight="1" thickBot="1" x14ac:dyDescent="0.4">
      <c r="A35" s="312"/>
      <c r="B35" s="19" t="s">
        <v>26</v>
      </c>
      <c r="C35" s="24">
        <v>5</v>
      </c>
      <c r="D35" s="256"/>
      <c r="E35" s="258"/>
      <c r="F35" s="226"/>
      <c r="G35" s="256"/>
      <c r="H35" s="256"/>
      <c r="I35" s="256"/>
      <c r="J35" s="206"/>
      <c r="K35" s="102"/>
      <c r="L35" s="225"/>
      <c r="M35" s="205"/>
      <c r="N35" s="102"/>
      <c r="O35" s="102"/>
      <c r="P35" s="102"/>
      <c r="Q35" s="96"/>
      <c r="R35" s="256"/>
      <c r="S35" s="310"/>
      <c r="T35" s="19" t="s">
        <v>26</v>
      </c>
      <c r="U35" s="20">
        <v>5</v>
      </c>
      <c r="V35" s="67"/>
    </row>
    <row r="36" spans="1:22" ht="45" customHeight="1" x14ac:dyDescent="0.35">
      <c r="A36" s="47"/>
      <c r="B36" s="47"/>
      <c r="J36" s="103"/>
      <c r="K36" s="53"/>
      <c r="L36" s="52"/>
      <c r="M36" s="53"/>
      <c r="N36" s="53"/>
      <c r="O36" s="53"/>
      <c r="P36" s="53"/>
      <c r="Q36" s="53"/>
      <c r="R36" s="52"/>
      <c r="S36" s="47"/>
      <c r="T36" s="47"/>
      <c r="U36" s="47"/>
    </row>
  </sheetData>
  <mergeCells count="19">
    <mergeCell ref="B1:B5"/>
    <mergeCell ref="S6:S10"/>
    <mergeCell ref="A21:A25"/>
    <mergeCell ref="T1:T5"/>
    <mergeCell ref="A26:A30"/>
    <mergeCell ref="S1:S5"/>
    <mergeCell ref="U1:U5"/>
    <mergeCell ref="A31:A35"/>
    <mergeCell ref="S26:S30"/>
    <mergeCell ref="S31:S35"/>
    <mergeCell ref="S16:S20"/>
    <mergeCell ref="D5:R5"/>
    <mergeCell ref="S21:S25"/>
    <mergeCell ref="A11:A15"/>
    <mergeCell ref="A1:A5"/>
    <mergeCell ref="C1:C5"/>
    <mergeCell ref="A6:A10"/>
    <mergeCell ref="S11:S15"/>
    <mergeCell ref="A16:A20"/>
  </mergeCells>
  <pageMargins left="0.25" right="0.25" top="0.75" bottom="0.75" header="0.3" footer="0.3"/>
  <pageSetup paperSize="9" scale="26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R36"/>
  <sheetViews>
    <sheetView zoomScale="40" zoomScaleNormal="40" zoomScaleSheetLayoutView="4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L27" sqref="L27"/>
    </sheetView>
  </sheetViews>
  <sheetFormatPr defaultColWidth="9.140625" defaultRowHeight="18.75" x14ac:dyDescent="0.3"/>
  <cols>
    <col min="1" max="1" width="9.140625" style="11" customWidth="1"/>
    <col min="2" max="2" width="12.42578125" style="12" customWidth="1"/>
    <col min="3" max="3" width="8.140625" style="12" customWidth="1"/>
    <col min="4" max="4" width="51.42578125" style="63" customWidth="1"/>
    <col min="5" max="5" width="55.28515625" style="63" customWidth="1"/>
    <col min="6" max="6" width="54.5703125" style="63" customWidth="1"/>
    <col min="7" max="7" width="53.42578125" style="63" customWidth="1"/>
    <col min="8" max="8" width="50.7109375" style="63" customWidth="1"/>
    <col min="9" max="9" width="57.28515625" style="63" customWidth="1"/>
    <col min="10" max="10" width="52.5703125" style="63" customWidth="1"/>
    <col min="11" max="11" width="50.28515625" style="63" customWidth="1"/>
    <col min="12" max="12" width="50" style="63" customWidth="1"/>
    <col min="13" max="13" width="52" style="63" customWidth="1"/>
    <col min="14" max="14" width="56.28515625" style="63" customWidth="1"/>
    <col min="15" max="15" width="9.140625" style="146" customWidth="1"/>
    <col min="16" max="16" width="12.42578125" style="12" customWidth="1"/>
    <col min="17" max="17" width="8.140625" style="12" customWidth="1"/>
    <col min="18" max="18" width="9.140625" style="7" customWidth="1"/>
    <col min="19" max="16384" width="9.140625" style="7"/>
  </cols>
  <sheetData>
    <row r="1" spans="1:18" ht="60" customHeight="1" x14ac:dyDescent="0.25">
      <c r="A1" s="340" t="s">
        <v>0</v>
      </c>
      <c r="B1" s="339" t="s">
        <v>1</v>
      </c>
      <c r="C1" s="338" t="s">
        <v>2</v>
      </c>
      <c r="D1" s="109" t="s">
        <v>89</v>
      </c>
      <c r="E1" s="109" t="s">
        <v>90</v>
      </c>
      <c r="F1" s="109" t="s">
        <v>91</v>
      </c>
      <c r="G1" s="109" t="s">
        <v>92</v>
      </c>
      <c r="H1" s="109" t="s">
        <v>93</v>
      </c>
      <c r="I1" s="109" t="s">
        <v>94</v>
      </c>
      <c r="J1" s="109" t="s">
        <v>95</v>
      </c>
      <c r="K1" s="109" t="s">
        <v>96</v>
      </c>
      <c r="L1" s="109" t="s">
        <v>97</v>
      </c>
      <c r="M1" s="109" t="s">
        <v>98</v>
      </c>
      <c r="N1" s="109" t="s">
        <v>99</v>
      </c>
      <c r="O1" s="339" t="s">
        <v>0</v>
      </c>
      <c r="P1" s="340" t="s">
        <v>1</v>
      </c>
      <c r="Q1" s="338" t="s">
        <v>2</v>
      </c>
      <c r="R1" s="63"/>
    </row>
    <row r="2" spans="1:18" ht="142.5" customHeight="1" x14ac:dyDescent="0.25">
      <c r="A2" s="309"/>
      <c r="B2" s="320"/>
      <c r="C2" s="323"/>
      <c r="D2" s="60" t="s">
        <v>100</v>
      </c>
      <c r="E2" s="60" t="s">
        <v>53</v>
      </c>
      <c r="F2" s="60" t="s">
        <v>101</v>
      </c>
      <c r="G2" s="60" t="s">
        <v>102</v>
      </c>
      <c r="H2" s="60" t="s">
        <v>8</v>
      </c>
      <c r="I2" s="60" t="s">
        <v>9</v>
      </c>
      <c r="J2" s="60" t="s">
        <v>52</v>
      </c>
      <c r="K2" s="60" t="s">
        <v>103</v>
      </c>
      <c r="L2" s="60" t="s">
        <v>56</v>
      </c>
      <c r="M2" s="60" t="s">
        <v>56</v>
      </c>
      <c r="N2" s="60" t="s">
        <v>104</v>
      </c>
      <c r="O2" s="320"/>
      <c r="P2" s="309"/>
      <c r="Q2" s="323"/>
      <c r="R2" s="63"/>
    </row>
    <row r="3" spans="1:18" s="87" customFormat="1" ht="57.75" customHeight="1" thickBot="1" x14ac:dyDescent="0.3">
      <c r="A3" s="309"/>
      <c r="B3" s="320"/>
      <c r="C3" s="323"/>
      <c r="D3" s="110" t="s">
        <v>105</v>
      </c>
      <c r="E3" s="110" t="s">
        <v>106</v>
      </c>
      <c r="F3" s="110" t="s">
        <v>107</v>
      </c>
      <c r="G3" s="110" t="s">
        <v>108</v>
      </c>
      <c r="H3" s="110" t="s">
        <v>109</v>
      </c>
      <c r="I3" s="110" t="s">
        <v>110</v>
      </c>
      <c r="J3" s="110" t="s">
        <v>111</v>
      </c>
      <c r="K3" s="110" t="s">
        <v>112</v>
      </c>
      <c r="L3" s="110" t="s">
        <v>113</v>
      </c>
      <c r="M3" s="110" t="s">
        <v>114</v>
      </c>
      <c r="N3" s="110" t="s">
        <v>115</v>
      </c>
      <c r="O3" s="320"/>
      <c r="P3" s="309"/>
      <c r="Q3" s="323"/>
      <c r="R3" s="86"/>
    </row>
    <row r="4" spans="1:18" ht="40.5" customHeight="1" x14ac:dyDescent="0.25">
      <c r="A4" s="309"/>
      <c r="B4" s="320"/>
      <c r="C4" s="323"/>
      <c r="D4" s="40">
        <v>30</v>
      </c>
      <c r="E4" s="40">
        <v>23</v>
      </c>
      <c r="F4" s="40">
        <v>10</v>
      </c>
      <c r="G4" s="40">
        <v>10</v>
      </c>
      <c r="H4" s="40">
        <v>37</v>
      </c>
      <c r="I4" s="40">
        <v>19</v>
      </c>
      <c r="J4" s="40">
        <v>31</v>
      </c>
      <c r="K4" s="40">
        <v>30</v>
      </c>
      <c r="L4" s="40">
        <v>31</v>
      </c>
      <c r="M4" s="40">
        <v>40</v>
      </c>
      <c r="N4" s="40">
        <v>51</v>
      </c>
      <c r="O4" s="320"/>
      <c r="P4" s="309"/>
      <c r="Q4" s="323"/>
      <c r="R4" s="63"/>
    </row>
    <row r="5" spans="1:18" ht="66" customHeight="1" thickBot="1" x14ac:dyDescent="0.3">
      <c r="A5" s="314"/>
      <c r="B5" s="321"/>
      <c r="C5" s="324"/>
      <c r="D5" s="341" t="str">
        <f>'4к 9кл, 3к 11кл'!D5:H5</f>
        <v>17 неделя</v>
      </c>
      <c r="E5" s="342"/>
      <c r="F5" s="342"/>
      <c r="G5" s="342"/>
      <c r="H5" s="342"/>
      <c r="I5" s="342"/>
      <c r="J5" s="342"/>
      <c r="K5" s="342"/>
      <c r="L5" s="342"/>
      <c r="M5" s="342"/>
      <c r="N5" s="314"/>
      <c r="O5" s="321"/>
      <c r="P5" s="314"/>
      <c r="Q5" s="324"/>
      <c r="R5" s="63"/>
    </row>
    <row r="6" spans="1:18" ht="291.75" customHeight="1" x14ac:dyDescent="0.25">
      <c r="A6" s="337" t="str">
        <f>'4к 9кл, 3к 11кл'!A6:A10</f>
        <v>Понедельник 22.12.2025</v>
      </c>
      <c r="B6" s="41" t="s">
        <v>19</v>
      </c>
      <c r="C6" s="42">
        <v>1</v>
      </c>
      <c r="D6" s="112" t="s">
        <v>323</v>
      </c>
      <c r="E6" s="293" t="s">
        <v>329</v>
      </c>
      <c r="F6" s="301" t="s">
        <v>116</v>
      </c>
      <c r="H6" s="293" t="s">
        <v>326</v>
      </c>
      <c r="K6" s="112" t="s">
        <v>327</v>
      </c>
      <c r="L6" s="114"/>
      <c r="M6" s="149"/>
      <c r="N6" s="114"/>
      <c r="O6" s="336" t="str">
        <f>'4к 9кл, 3к 11кл'!A6:A10</f>
        <v>Понедельник 22.12.2025</v>
      </c>
      <c r="P6" s="143" t="s">
        <v>19</v>
      </c>
      <c r="Q6" s="64">
        <v>1</v>
      </c>
    </row>
    <row r="7" spans="1:18" ht="240.75" customHeight="1" x14ac:dyDescent="0.25">
      <c r="A7" s="306"/>
      <c r="B7" s="43" t="s">
        <v>21</v>
      </c>
      <c r="C7" s="44">
        <v>2</v>
      </c>
      <c r="D7" s="114" t="s">
        <v>119</v>
      </c>
      <c r="F7" s="283"/>
      <c r="G7" s="210"/>
      <c r="H7" s="112"/>
      <c r="I7" s="283"/>
      <c r="J7" s="301" t="s">
        <v>366</v>
      </c>
      <c r="K7" s="304" t="s">
        <v>330</v>
      </c>
      <c r="L7" s="112"/>
      <c r="M7" s="227"/>
      <c r="N7" s="112"/>
      <c r="O7" s="309"/>
      <c r="P7" s="144" t="s">
        <v>21</v>
      </c>
      <c r="Q7" s="44">
        <v>2</v>
      </c>
      <c r="R7" s="63"/>
    </row>
    <row r="8" spans="1:18" ht="256.14999999999998" customHeight="1" x14ac:dyDescent="0.25">
      <c r="A8" s="306"/>
      <c r="B8" s="43" t="s">
        <v>22</v>
      </c>
      <c r="C8" s="44">
        <v>3</v>
      </c>
      <c r="D8" s="112"/>
      <c r="E8" s="168"/>
      <c r="F8" s="283"/>
      <c r="G8" s="9"/>
      <c r="H8" s="112"/>
      <c r="I8" s="227"/>
      <c r="J8" s="243"/>
      <c r="K8" s="227"/>
      <c r="L8" s="112" t="s">
        <v>287</v>
      </c>
      <c r="M8" s="227"/>
      <c r="N8" s="5"/>
      <c r="O8" s="309"/>
      <c r="P8" s="144" t="s">
        <v>22</v>
      </c>
      <c r="Q8" s="44">
        <v>3</v>
      </c>
      <c r="R8" s="63"/>
    </row>
    <row r="9" spans="1:18" ht="201" customHeight="1" x14ac:dyDescent="0.25">
      <c r="A9" s="306"/>
      <c r="B9" s="43" t="s">
        <v>23</v>
      </c>
      <c r="C9" s="44">
        <v>4</v>
      </c>
      <c r="D9" s="112"/>
      <c r="E9" s="112"/>
      <c r="F9" s="227"/>
      <c r="G9" s="210"/>
      <c r="H9" s="9"/>
      <c r="I9" s="302" t="s">
        <v>121</v>
      </c>
      <c r="J9" s="243"/>
      <c r="K9" s="227"/>
      <c r="L9" s="243"/>
      <c r="M9" s="227"/>
      <c r="N9" s="243"/>
      <c r="O9" s="309"/>
      <c r="P9" s="144" t="s">
        <v>23</v>
      </c>
      <c r="Q9" s="44">
        <v>4</v>
      </c>
      <c r="R9" s="63"/>
    </row>
    <row r="10" spans="1:18" ht="183.75" customHeight="1" thickBot="1" x14ac:dyDescent="0.3">
      <c r="A10" s="312"/>
      <c r="B10" s="45" t="s">
        <v>26</v>
      </c>
      <c r="C10" s="46">
        <v>5</v>
      </c>
      <c r="D10" s="210"/>
      <c r="E10" s="113"/>
      <c r="F10" s="156"/>
      <c r="G10" s="358" t="s">
        <v>117</v>
      </c>
      <c r="H10" s="156"/>
      <c r="I10" s="283"/>
      <c r="J10" s="283"/>
      <c r="K10" s="113"/>
      <c r="M10" s="283"/>
      <c r="O10" s="310"/>
      <c r="P10" s="145" t="s">
        <v>26</v>
      </c>
      <c r="Q10" s="46">
        <v>5</v>
      </c>
      <c r="R10" s="63"/>
    </row>
    <row r="11" spans="1:18" ht="283.5" customHeight="1" x14ac:dyDescent="0.25">
      <c r="A11" s="337" t="str">
        <f>'4к 9кл, 3к 11кл'!A11:A15</f>
        <v>Вторник 23.12.2025</v>
      </c>
      <c r="B11" s="41" t="s">
        <v>19</v>
      </c>
      <c r="C11" s="42">
        <v>1</v>
      </c>
      <c r="D11" s="293" t="s">
        <v>352</v>
      </c>
      <c r="E11" s="293" t="s">
        <v>116</v>
      </c>
      <c r="G11" s="220"/>
      <c r="H11" s="293" t="s">
        <v>122</v>
      </c>
      <c r="I11" s="220"/>
      <c r="J11" s="8" t="s">
        <v>125</v>
      </c>
      <c r="L11" s="220"/>
      <c r="M11" s="220"/>
      <c r="N11" s="220"/>
      <c r="O11" s="336" t="str">
        <f>'4к 9кл, 3к 11кл'!A11:A15</f>
        <v>Вторник 23.12.2025</v>
      </c>
      <c r="P11" s="143" t="s">
        <v>19</v>
      </c>
      <c r="Q11" s="42">
        <v>1</v>
      </c>
      <c r="R11" s="63"/>
    </row>
    <row r="12" spans="1:18" ht="189" customHeight="1" x14ac:dyDescent="0.25">
      <c r="A12" s="306"/>
      <c r="B12" s="43" t="s">
        <v>21</v>
      </c>
      <c r="C12" s="44">
        <v>2</v>
      </c>
      <c r="D12" s="112"/>
      <c r="E12" s="9"/>
      <c r="F12" s="210"/>
      <c r="G12" s="9" t="s">
        <v>299</v>
      </c>
      <c r="I12" s="112" t="s">
        <v>118</v>
      </c>
      <c r="J12" s="112" t="s">
        <v>120</v>
      </c>
      <c r="K12" s="112"/>
      <c r="M12" s="112" t="s">
        <v>126</v>
      </c>
      <c r="N12" s="9"/>
      <c r="O12" s="309"/>
      <c r="P12" s="144" t="s">
        <v>21</v>
      </c>
      <c r="Q12" s="44">
        <v>2</v>
      </c>
      <c r="R12" s="63"/>
    </row>
    <row r="13" spans="1:18" ht="190.5" customHeight="1" x14ac:dyDescent="0.25">
      <c r="A13" s="306"/>
      <c r="B13" s="43" t="s">
        <v>22</v>
      </c>
      <c r="C13" s="44">
        <v>3</v>
      </c>
      <c r="D13" s="227"/>
      <c r="E13" s="112"/>
      <c r="F13" s="301" t="s">
        <v>354</v>
      </c>
      <c r="G13" s="9" t="s">
        <v>299</v>
      </c>
      <c r="H13" s="112"/>
      <c r="I13" s="112" t="s">
        <v>118</v>
      </c>
      <c r="J13" s="112" t="s">
        <v>120</v>
      </c>
      <c r="K13" s="210"/>
      <c r="L13" s="227"/>
      <c r="N13" s="9"/>
      <c r="O13" s="309"/>
      <c r="P13" s="144" t="s">
        <v>22</v>
      </c>
      <c r="Q13" s="44">
        <v>3</v>
      </c>
      <c r="R13" s="63"/>
    </row>
    <row r="14" spans="1:18" ht="180" customHeight="1" x14ac:dyDescent="0.25">
      <c r="A14" s="306"/>
      <c r="B14" s="43" t="s">
        <v>23</v>
      </c>
      <c r="C14" s="44">
        <v>4</v>
      </c>
      <c r="E14" s="112"/>
      <c r="F14" s="112"/>
      <c r="G14" s="112" t="s">
        <v>127</v>
      </c>
      <c r="H14" s="112"/>
      <c r="I14" s="112" t="s">
        <v>118</v>
      </c>
      <c r="J14" s="112" t="s">
        <v>120</v>
      </c>
      <c r="K14" s="301" t="s">
        <v>355</v>
      </c>
      <c r="M14" s="112"/>
      <c r="N14" s="9"/>
      <c r="O14" s="309"/>
      <c r="P14" s="144" t="s">
        <v>23</v>
      </c>
      <c r="Q14" s="44">
        <v>4</v>
      </c>
      <c r="R14" s="63"/>
    </row>
    <row r="15" spans="1:18" ht="193.5" customHeight="1" thickBot="1" x14ac:dyDescent="0.3">
      <c r="A15" s="312"/>
      <c r="B15" s="45" t="s">
        <v>26</v>
      </c>
      <c r="C15" s="46">
        <v>5</v>
      </c>
      <c r="D15" s="168"/>
      <c r="F15" s="113"/>
      <c r="G15" s="210" t="s">
        <v>121</v>
      </c>
      <c r="H15" s="113"/>
      <c r="I15" s="113"/>
      <c r="J15" s="210" t="s">
        <v>120</v>
      </c>
      <c r="K15" s="156"/>
      <c r="L15" s="156"/>
      <c r="M15" s="113"/>
      <c r="N15" s="156"/>
      <c r="O15" s="310"/>
      <c r="P15" s="145" t="s">
        <v>26</v>
      </c>
      <c r="Q15" s="46">
        <v>5</v>
      </c>
      <c r="R15" s="63"/>
    </row>
    <row r="16" spans="1:18" ht="186" customHeight="1" x14ac:dyDescent="0.25">
      <c r="A16" s="337" t="str">
        <f>'4к 9кл, 3к 11кл'!A16:A20</f>
        <v>Среда 24.12.2025</v>
      </c>
      <c r="B16" s="41" t="s">
        <v>19</v>
      </c>
      <c r="C16" s="42">
        <v>1</v>
      </c>
      <c r="D16" s="293" t="s">
        <v>353</v>
      </c>
      <c r="E16" s="357" t="s">
        <v>128</v>
      </c>
      <c r="F16" s="293" t="s">
        <v>129</v>
      </c>
      <c r="G16" s="220"/>
      <c r="H16" s="111"/>
      <c r="J16" s="293" t="s">
        <v>130</v>
      </c>
      <c r="L16" s="8"/>
      <c r="M16" s="111"/>
      <c r="N16" s="8"/>
      <c r="O16" s="336" t="str">
        <f>'4к 9кл, 3к 11кл'!A16:A20</f>
        <v>Среда 24.12.2025</v>
      </c>
      <c r="P16" s="143" t="s">
        <v>19</v>
      </c>
      <c r="Q16" s="64">
        <v>1</v>
      </c>
    </row>
    <row r="17" spans="1:18" ht="167.25" customHeight="1" x14ac:dyDescent="0.25">
      <c r="A17" s="306"/>
      <c r="B17" s="43" t="s">
        <v>21</v>
      </c>
      <c r="C17" s="44">
        <v>2</v>
      </c>
      <c r="D17" s="112"/>
      <c r="E17" s="301" t="s">
        <v>128</v>
      </c>
      <c r="F17" s="112"/>
      <c r="G17" s="283"/>
      <c r="H17" s="112"/>
      <c r="I17" s="112"/>
      <c r="J17" s="112"/>
      <c r="K17" s="301" t="s">
        <v>375</v>
      </c>
      <c r="L17" s="114"/>
      <c r="M17" s="112"/>
      <c r="N17" s="10"/>
      <c r="O17" s="309"/>
      <c r="P17" s="144" t="s">
        <v>21</v>
      </c>
      <c r="Q17" s="44">
        <v>2</v>
      </c>
      <c r="R17" s="63"/>
    </row>
    <row r="18" spans="1:18" ht="208.5" customHeight="1" x14ac:dyDescent="0.25">
      <c r="A18" s="306"/>
      <c r="B18" s="43" t="s">
        <v>22</v>
      </c>
      <c r="C18" s="44">
        <v>3</v>
      </c>
      <c r="D18" s="112"/>
      <c r="E18" s="112"/>
      <c r="F18" s="112"/>
      <c r="G18" s="301" t="s">
        <v>300</v>
      </c>
      <c r="H18" s="112"/>
      <c r="I18" s="112"/>
      <c r="J18" s="112"/>
      <c r="K18" s="112"/>
      <c r="L18" s="112"/>
      <c r="M18" s="112"/>
      <c r="N18" s="9"/>
      <c r="O18" s="309"/>
      <c r="P18" s="144" t="s">
        <v>22</v>
      </c>
      <c r="Q18" s="44">
        <v>3</v>
      </c>
      <c r="R18" s="63"/>
    </row>
    <row r="19" spans="1:18" ht="204.75" customHeight="1" x14ac:dyDescent="0.25">
      <c r="A19" s="306"/>
      <c r="B19" s="43" t="s">
        <v>23</v>
      </c>
      <c r="C19" s="44">
        <v>4</v>
      </c>
      <c r="E19" s="114"/>
      <c r="F19" s="112"/>
      <c r="G19" s="112"/>
      <c r="H19" s="114"/>
      <c r="J19" s="112"/>
      <c r="K19" s="112"/>
      <c r="L19" s="112"/>
      <c r="M19" s="112"/>
      <c r="N19" s="9"/>
      <c r="O19" s="309"/>
      <c r="P19" s="144" t="s">
        <v>23</v>
      </c>
      <c r="Q19" s="44">
        <v>4</v>
      </c>
      <c r="R19" s="63"/>
    </row>
    <row r="20" spans="1:18" ht="183.75" customHeight="1" thickBot="1" x14ac:dyDescent="0.3">
      <c r="A20" s="312"/>
      <c r="B20" s="45" t="s">
        <v>26</v>
      </c>
      <c r="C20" s="46">
        <v>5</v>
      </c>
      <c r="D20" s="156"/>
      <c r="E20" s="230"/>
      <c r="F20" s="114"/>
      <c r="G20" s="147"/>
      <c r="H20" s="114"/>
      <c r="I20" s="297" t="s">
        <v>123</v>
      </c>
      <c r="J20" s="147"/>
      <c r="K20" s="114"/>
      <c r="L20" s="112"/>
      <c r="M20" s="112"/>
      <c r="N20" s="9"/>
      <c r="O20" s="310"/>
      <c r="P20" s="145" t="s">
        <v>26</v>
      </c>
      <c r="Q20" s="46">
        <v>5</v>
      </c>
      <c r="R20" s="63"/>
    </row>
    <row r="21" spans="1:18" ht="189" customHeight="1" x14ac:dyDescent="0.25">
      <c r="A21" s="337" t="str">
        <f>'4к 9кл, 3к 11кл'!A21:A25</f>
        <v>Четверг 25.12.2025</v>
      </c>
      <c r="B21" s="41" t="s">
        <v>19</v>
      </c>
      <c r="C21" s="42">
        <v>1</v>
      </c>
      <c r="D21" s="111"/>
      <c r="E21" s="293" t="s">
        <v>129</v>
      </c>
      <c r="F21" s="293" t="s">
        <v>413</v>
      </c>
      <c r="G21" s="293" t="s">
        <v>131</v>
      </c>
      <c r="H21" s="111"/>
      <c r="I21" s="293" t="s">
        <v>117</v>
      </c>
      <c r="J21" s="8" t="s">
        <v>132</v>
      </c>
      <c r="K21" s="111"/>
      <c r="L21" s="199"/>
      <c r="M21" s="111"/>
      <c r="N21" s="183"/>
      <c r="O21" s="336" t="str">
        <f>'4к 9кл, 3к 11кл'!A21:A25</f>
        <v>Четверг 25.12.2025</v>
      </c>
      <c r="P21" s="143" t="s">
        <v>19</v>
      </c>
      <c r="Q21" s="42">
        <v>1</v>
      </c>
      <c r="R21" s="63"/>
    </row>
    <row r="22" spans="1:18" ht="195" customHeight="1" x14ac:dyDescent="0.25">
      <c r="A22" s="306"/>
      <c r="B22" s="43" t="s">
        <v>21</v>
      </c>
      <c r="C22" s="44">
        <v>2</v>
      </c>
      <c r="E22" s="112"/>
      <c r="F22" s="9"/>
      <c r="G22" s="112"/>
      <c r="H22" s="112"/>
      <c r="J22" s="112" t="s">
        <v>396</v>
      </c>
      <c r="K22" s="112"/>
      <c r="L22" s="168"/>
      <c r="M22" s="112"/>
      <c r="N22" s="168"/>
      <c r="O22" s="309"/>
      <c r="P22" s="144" t="s">
        <v>21</v>
      </c>
      <c r="Q22" s="44">
        <v>2</v>
      </c>
      <c r="R22" s="63"/>
    </row>
    <row r="23" spans="1:18" ht="204.75" customHeight="1" x14ac:dyDescent="0.25">
      <c r="A23" s="306"/>
      <c r="B23" s="43" t="s">
        <v>22</v>
      </c>
      <c r="C23" s="44">
        <v>3</v>
      </c>
      <c r="D23" s="112"/>
      <c r="E23" s="112"/>
      <c r="F23" s="112"/>
      <c r="G23" s="112"/>
      <c r="H23" s="112"/>
      <c r="I23" s="112"/>
      <c r="J23" s="112" t="s">
        <v>164</v>
      </c>
      <c r="K23" s="112" t="s">
        <v>324</v>
      </c>
      <c r="L23" s="9"/>
      <c r="M23" s="112"/>
      <c r="N23" s="9"/>
      <c r="O23" s="309"/>
      <c r="P23" s="144" t="s">
        <v>22</v>
      </c>
      <c r="Q23" s="44">
        <v>3</v>
      </c>
      <c r="R23" s="63"/>
    </row>
    <row r="24" spans="1:18" ht="211.5" customHeight="1" x14ac:dyDescent="0.25">
      <c r="A24" s="306"/>
      <c r="B24" s="43" t="s">
        <v>23</v>
      </c>
      <c r="C24" s="44">
        <v>4</v>
      </c>
      <c r="D24" s="112"/>
      <c r="E24" s="112"/>
      <c r="F24" s="112"/>
      <c r="G24" s="112"/>
      <c r="H24" s="112"/>
      <c r="I24" s="112"/>
      <c r="J24" s="112" t="s">
        <v>164</v>
      </c>
      <c r="K24" s="112" t="s">
        <v>325</v>
      </c>
      <c r="L24" s="10" t="s">
        <v>398</v>
      </c>
      <c r="M24" s="112"/>
      <c r="N24" s="10"/>
      <c r="O24" s="309"/>
      <c r="P24" s="144" t="s">
        <v>23</v>
      </c>
      <c r="Q24" s="65">
        <v>4</v>
      </c>
    </row>
    <row r="25" spans="1:18" ht="203.25" customHeight="1" thickBot="1" x14ac:dyDescent="0.3">
      <c r="A25" s="312"/>
      <c r="B25" s="45" t="s">
        <v>26</v>
      </c>
      <c r="C25" s="46">
        <v>5</v>
      </c>
      <c r="D25" s="114"/>
      <c r="E25" s="112"/>
      <c r="F25" s="114"/>
      <c r="G25" s="114"/>
      <c r="H25" s="114"/>
      <c r="I25" s="114"/>
      <c r="J25" s="112" t="s">
        <v>397</v>
      </c>
      <c r="K25" s="114"/>
      <c r="L25" s="112"/>
      <c r="N25" s="9"/>
      <c r="O25" s="310"/>
      <c r="P25" s="145" t="s">
        <v>26</v>
      </c>
      <c r="Q25" s="46">
        <v>5</v>
      </c>
      <c r="R25" s="63"/>
    </row>
    <row r="26" spans="1:18" ht="207" customHeight="1" x14ac:dyDescent="0.25">
      <c r="A26" s="337" t="str">
        <f>'4к 9кл, 3к 11кл'!A26:A30</f>
        <v>Пятница 26.12.2025</v>
      </c>
      <c r="B26" s="41" t="s">
        <v>19</v>
      </c>
      <c r="C26" s="42">
        <v>1</v>
      </c>
      <c r="D26" s="111"/>
      <c r="E26" s="111"/>
      <c r="F26" s="361" t="s">
        <v>399</v>
      </c>
      <c r="G26" s="199" t="s">
        <v>400</v>
      </c>
      <c r="H26" s="111"/>
      <c r="I26" s="111"/>
      <c r="J26" s="111"/>
      <c r="K26" s="111"/>
      <c r="L26" s="111"/>
      <c r="M26" s="183" t="s">
        <v>120</v>
      </c>
      <c r="N26" s="267" t="s">
        <v>83</v>
      </c>
      <c r="O26" s="336" t="str">
        <f>'4к 9кл, 3к 11кл'!A26:A30</f>
        <v>Пятница 26.12.2025</v>
      </c>
      <c r="P26" s="143" t="s">
        <v>19</v>
      </c>
      <c r="Q26" s="42">
        <v>1</v>
      </c>
      <c r="R26" s="63"/>
    </row>
    <row r="27" spans="1:18" ht="213" customHeight="1" x14ac:dyDescent="0.25">
      <c r="A27" s="306"/>
      <c r="B27" s="43" t="s">
        <v>21</v>
      </c>
      <c r="C27" s="44">
        <v>2</v>
      </c>
      <c r="D27" s="112"/>
      <c r="E27" s="231"/>
      <c r="F27" s="112"/>
      <c r="G27" s="362" t="s">
        <v>401</v>
      </c>
      <c r="H27" s="112"/>
      <c r="I27" s="112"/>
      <c r="K27" s="112"/>
      <c r="L27" s="112"/>
      <c r="M27" s="9" t="s">
        <v>120</v>
      </c>
      <c r="N27" s="9"/>
      <c r="O27" s="309"/>
      <c r="P27" s="144" t="s">
        <v>21</v>
      </c>
      <c r="Q27" s="44">
        <v>2</v>
      </c>
      <c r="R27" s="63"/>
    </row>
    <row r="28" spans="1:18" ht="204" customHeight="1" x14ac:dyDescent="0.25">
      <c r="A28" s="306"/>
      <c r="B28" s="43" t="s">
        <v>22</v>
      </c>
      <c r="C28" s="44">
        <v>3</v>
      </c>
      <c r="D28" s="9"/>
      <c r="E28" s="112"/>
      <c r="G28" s="302" t="s">
        <v>402</v>
      </c>
      <c r="H28" s="112"/>
      <c r="J28" s="112"/>
      <c r="K28" s="112"/>
      <c r="L28" s="112"/>
      <c r="M28" s="168" t="s">
        <v>120</v>
      </c>
      <c r="N28" s="9"/>
      <c r="O28" s="309"/>
      <c r="P28" s="144" t="s">
        <v>22</v>
      </c>
      <c r="Q28" s="44">
        <v>3</v>
      </c>
      <c r="R28" s="63"/>
    </row>
    <row r="29" spans="1:18" ht="167.25" customHeight="1" x14ac:dyDescent="0.25">
      <c r="A29" s="306"/>
      <c r="B29" s="43" t="s">
        <v>23</v>
      </c>
      <c r="C29" s="44">
        <v>4</v>
      </c>
      <c r="D29" s="112"/>
      <c r="E29" s="114"/>
      <c r="F29" s="112"/>
      <c r="G29" s="112"/>
      <c r="H29" s="112"/>
      <c r="I29" s="9"/>
      <c r="J29" s="112"/>
      <c r="K29" s="112"/>
      <c r="L29" s="112"/>
      <c r="M29" s="9" t="s">
        <v>120</v>
      </c>
      <c r="N29" s="9"/>
      <c r="O29" s="309"/>
      <c r="P29" s="144" t="s">
        <v>23</v>
      </c>
      <c r="Q29" s="44">
        <v>4</v>
      </c>
      <c r="R29" s="63"/>
    </row>
    <row r="30" spans="1:18" ht="212.25" customHeight="1" thickBot="1" x14ac:dyDescent="0.3">
      <c r="A30" s="312"/>
      <c r="B30" s="43" t="s">
        <v>26</v>
      </c>
      <c r="C30" s="44">
        <v>5</v>
      </c>
      <c r="F30" s="114"/>
      <c r="G30" s="147"/>
      <c r="H30" s="114"/>
      <c r="I30" s="114"/>
      <c r="J30" s="147"/>
      <c r="K30" s="113"/>
      <c r="L30" s="147"/>
      <c r="M30" s="366" t="s">
        <v>133</v>
      </c>
      <c r="N30" s="182"/>
      <c r="O30" s="310"/>
      <c r="P30" s="144" t="s">
        <v>26</v>
      </c>
      <c r="Q30" s="66">
        <v>5</v>
      </c>
    </row>
    <row r="31" spans="1:18" ht="188.25" customHeight="1" x14ac:dyDescent="0.25">
      <c r="A31" s="337" t="str">
        <f>'4к 9кл, 3к 11кл'!A31:A35</f>
        <v>Суббота 27.12.2025</v>
      </c>
      <c r="B31" s="41" t="s">
        <v>19</v>
      </c>
      <c r="C31" s="42">
        <v>1</v>
      </c>
      <c r="D31" s="111"/>
      <c r="E31" s="8"/>
      <c r="F31" s="111"/>
      <c r="G31" s="111"/>
      <c r="H31" s="8"/>
      <c r="I31" s="111"/>
      <c r="J31" s="8"/>
      <c r="K31" s="8"/>
      <c r="L31" s="111"/>
      <c r="M31" s="111"/>
      <c r="N31" s="8"/>
      <c r="O31" s="336" t="str">
        <f>'4к 9кл, 3к 11кл'!A31:A35</f>
        <v>Суббота 27.12.2025</v>
      </c>
      <c r="P31" s="143" t="s">
        <v>19</v>
      </c>
      <c r="Q31" s="42">
        <v>1</v>
      </c>
      <c r="R31" s="63"/>
    </row>
    <row r="32" spans="1:18" ht="195.75" customHeight="1" x14ac:dyDescent="0.25">
      <c r="A32" s="306"/>
      <c r="B32" s="43" t="s">
        <v>21</v>
      </c>
      <c r="C32" s="44">
        <v>2</v>
      </c>
      <c r="D32" s="227"/>
      <c r="E32" s="212"/>
      <c r="F32" s="112"/>
      <c r="G32" s="112"/>
      <c r="H32" s="9"/>
      <c r="I32" s="112"/>
      <c r="J32" s="112"/>
      <c r="K32" s="112"/>
      <c r="M32" s="112"/>
      <c r="N32" s="9"/>
      <c r="O32" s="309"/>
      <c r="P32" s="144" t="s">
        <v>21</v>
      </c>
      <c r="Q32" s="44">
        <v>2</v>
      </c>
      <c r="R32" s="63"/>
    </row>
    <row r="33" spans="1:18" ht="187.5" customHeight="1" x14ac:dyDescent="0.25">
      <c r="A33" s="306"/>
      <c r="B33" s="43" t="s">
        <v>22</v>
      </c>
      <c r="C33" s="44">
        <v>3</v>
      </c>
      <c r="D33" s="227"/>
      <c r="E33" s="9"/>
      <c r="F33" s="112"/>
      <c r="G33" s="9"/>
      <c r="H33" s="148"/>
      <c r="I33" s="112"/>
      <c r="J33" s="112"/>
      <c r="K33" s="112"/>
      <c r="L33" s="112" t="s">
        <v>120</v>
      </c>
      <c r="M33" s="112"/>
      <c r="N33" s="9"/>
      <c r="O33" s="309"/>
      <c r="P33" s="144" t="s">
        <v>22</v>
      </c>
      <c r="Q33" s="44">
        <v>3</v>
      </c>
      <c r="R33" s="63"/>
    </row>
    <row r="34" spans="1:18" ht="204" customHeight="1" x14ac:dyDescent="0.25">
      <c r="A34" s="306"/>
      <c r="B34" s="43" t="s">
        <v>23</v>
      </c>
      <c r="C34" s="44">
        <v>4</v>
      </c>
      <c r="D34" s="227"/>
      <c r="E34" s="9"/>
      <c r="F34" s="112"/>
      <c r="G34" s="9"/>
      <c r="H34" s="148"/>
      <c r="I34" s="112"/>
      <c r="J34" s="112"/>
      <c r="K34" s="112"/>
      <c r="L34" s="112" t="s">
        <v>133</v>
      </c>
      <c r="M34" s="112"/>
      <c r="N34" s="9"/>
      <c r="O34" s="309"/>
      <c r="P34" s="144" t="s">
        <v>23</v>
      </c>
      <c r="Q34" s="44">
        <v>4</v>
      </c>
      <c r="R34" s="63"/>
    </row>
    <row r="35" spans="1:18" ht="194.25" customHeight="1" thickBot="1" x14ac:dyDescent="0.3">
      <c r="A35" s="312"/>
      <c r="B35" s="45" t="s">
        <v>26</v>
      </c>
      <c r="C35" s="56">
        <v>5</v>
      </c>
      <c r="D35" s="241"/>
      <c r="E35" s="156"/>
      <c r="F35" s="115"/>
      <c r="G35" s="156"/>
      <c r="H35" s="156"/>
      <c r="I35" s="115"/>
      <c r="J35" s="115"/>
      <c r="K35" s="115"/>
      <c r="L35" s="156"/>
      <c r="M35" s="115"/>
      <c r="N35" s="156"/>
      <c r="O35" s="310"/>
      <c r="P35" s="145" t="s">
        <v>26</v>
      </c>
      <c r="Q35" s="44">
        <v>5</v>
      </c>
      <c r="R35" s="63"/>
    </row>
    <row r="36" spans="1:18" x14ac:dyDescent="0.3">
      <c r="C36" s="57"/>
      <c r="G36" s="149"/>
      <c r="L36" s="149"/>
      <c r="M36" s="149"/>
    </row>
  </sheetData>
  <mergeCells count="19">
    <mergeCell ref="A31:A35"/>
    <mergeCell ref="P1:P5"/>
    <mergeCell ref="O6:O10"/>
    <mergeCell ref="A11:A15"/>
    <mergeCell ref="A1:A5"/>
    <mergeCell ref="C1:C5"/>
    <mergeCell ref="A6:A10"/>
    <mergeCell ref="O1:O5"/>
    <mergeCell ref="A16:A20"/>
    <mergeCell ref="D5:N5"/>
    <mergeCell ref="O31:O35"/>
    <mergeCell ref="A21:A25"/>
    <mergeCell ref="O16:O20"/>
    <mergeCell ref="A26:A30"/>
    <mergeCell ref="O21:O25"/>
    <mergeCell ref="Q1:Q5"/>
    <mergeCell ref="B1:B5"/>
    <mergeCell ref="O26:O30"/>
    <mergeCell ref="O11:O15"/>
  </mergeCells>
  <pageMargins left="0.25" right="0.25" top="0.75" bottom="0.75" header="0.3" footer="0.3"/>
  <pageSetup paperSize="9" scale="1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37"/>
  <sheetViews>
    <sheetView zoomScale="40" zoomScaleNormal="40" workbookViewId="0">
      <pane xSplit="3" ySplit="3" topLeftCell="G15" activePane="bottomRight" state="frozen"/>
      <selection pane="topRight" activeCell="D1" sqref="D1"/>
      <selection pane="bottomLeft" activeCell="A4" sqref="A4"/>
      <selection pane="bottomRight" activeCell="M27" sqref="M27"/>
    </sheetView>
  </sheetViews>
  <sheetFormatPr defaultRowHeight="18.75" x14ac:dyDescent="0.3"/>
  <cols>
    <col min="1" max="1" width="9.140625" style="11" customWidth="1"/>
    <col min="2" max="2" width="12.42578125" style="12" customWidth="1"/>
    <col min="3" max="3" width="8.140625" style="12" customWidth="1"/>
    <col min="4" max="4" width="58.28515625" style="63" customWidth="1"/>
    <col min="5" max="5" width="59.28515625" style="63" customWidth="1"/>
    <col min="6" max="6" width="68.7109375" style="63" customWidth="1"/>
    <col min="7" max="7" width="68.42578125" style="63" customWidth="1"/>
    <col min="8" max="8" width="74.28515625" style="63" customWidth="1"/>
    <col min="9" max="9" width="62.85546875" style="63" customWidth="1"/>
    <col min="10" max="10" width="66.7109375" style="63" customWidth="1"/>
    <col min="11" max="11" width="68.28515625" style="63" customWidth="1"/>
    <col min="12" max="12" width="73.42578125" style="63" customWidth="1"/>
    <col min="13" max="13" width="69.7109375" style="63" customWidth="1"/>
    <col min="14" max="14" width="72.7109375" style="108" customWidth="1"/>
    <col min="15" max="15" width="9.140625" style="11" customWidth="1"/>
    <col min="16" max="16" width="12.42578125" style="12" customWidth="1"/>
    <col min="17" max="17" width="8.140625" style="142" customWidth="1"/>
  </cols>
  <sheetData>
    <row r="1" spans="1:17" ht="28.5" customHeight="1" thickBot="1" x14ac:dyDescent="0.3">
      <c r="A1" s="340" t="s">
        <v>0</v>
      </c>
      <c r="B1" s="339" t="s">
        <v>1</v>
      </c>
      <c r="C1" s="338" t="s">
        <v>2</v>
      </c>
      <c r="D1" s="109" t="s">
        <v>134</v>
      </c>
      <c r="E1" s="109" t="s">
        <v>135</v>
      </c>
      <c r="F1" s="109" t="s">
        <v>136</v>
      </c>
      <c r="G1" s="109" t="s">
        <v>137</v>
      </c>
      <c r="H1" s="109" t="s">
        <v>138</v>
      </c>
      <c r="I1" s="109" t="s">
        <v>139</v>
      </c>
      <c r="J1" s="109" t="s">
        <v>140</v>
      </c>
      <c r="K1" s="109" t="s">
        <v>141</v>
      </c>
      <c r="L1" s="109" t="s">
        <v>142</v>
      </c>
      <c r="M1" s="109" t="s">
        <v>143</v>
      </c>
      <c r="N1" s="84" t="s">
        <v>144</v>
      </c>
      <c r="O1" s="340" t="s">
        <v>0</v>
      </c>
      <c r="P1" s="338" t="s">
        <v>1</v>
      </c>
      <c r="Q1" s="339" t="s">
        <v>2</v>
      </c>
    </row>
    <row r="2" spans="1:17" ht="114" customHeight="1" x14ac:dyDescent="0.25">
      <c r="A2" s="309"/>
      <c r="B2" s="320"/>
      <c r="C2" s="323"/>
      <c r="D2" s="60" t="s">
        <v>53</v>
      </c>
      <c r="E2" s="60" t="s">
        <v>101</v>
      </c>
      <c r="F2" s="60" t="s">
        <v>52</v>
      </c>
      <c r="G2" s="60" t="s">
        <v>103</v>
      </c>
      <c r="H2" s="60" t="s">
        <v>145</v>
      </c>
      <c r="I2" s="60" t="s">
        <v>8</v>
      </c>
      <c r="J2" s="60" t="s">
        <v>9</v>
      </c>
      <c r="K2" s="60" t="s">
        <v>104</v>
      </c>
      <c r="L2" s="60" t="s">
        <v>58</v>
      </c>
      <c r="M2" s="60" t="s">
        <v>59</v>
      </c>
      <c r="N2" s="153" t="s">
        <v>146</v>
      </c>
      <c r="O2" s="309"/>
      <c r="P2" s="323"/>
      <c r="Q2" s="320"/>
    </row>
    <row r="3" spans="1:17" ht="29.25" customHeight="1" thickBot="1" x14ac:dyDescent="0.3">
      <c r="A3" s="309"/>
      <c r="B3" s="320"/>
      <c r="C3" s="323"/>
      <c r="D3" s="110" t="s">
        <v>147</v>
      </c>
      <c r="E3" s="110" t="s">
        <v>148</v>
      </c>
      <c r="F3" s="110" t="s">
        <v>149</v>
      </c>
      <c r="G3" s="110" t="s">
        <v>150</v>
      </c>
      <c r="H3" s="110" t="s">
        <v>151</v>
      </c>
      <c r="I3" s="110" t="s">
        <v>152</v>
      </c>
      <c r="J3" s="110" t="s">
        <v>153</v>
      </c>
      <c r="K3" s="110" t="s">
        <v>154</v>
      </c>
      <c r="L3" s="110" t="s">
        <v>155</v>
      </c>
      <c r="M3" s="110" t="s">
        <v>156</v>
      </c>
      <c r="N3" s="85" t="s">
        <v>157</v>
      </c>
      <c r="O3" s="309"/>
      <c r="P3" s="323"/>
      <c r="Q3" s="320"/>
    </row>
    <row r="4" spans="1:17" ht="23.25" customHeight="1" x14ac:dyDescent="0.25">
      <c r="A4" s="309"/>
      <c r="B4" s="320"/>
      <c r="C4" s="323"/>
      <c r="D4" s="40">
        <v>8</v>
      </c>
      <c r="E4" s="40">
        <v>6</v>
      </c>
      <c r="F4" s="40">
        <v>11</v>
      </c>
      <c r="G4" s="40">
        <v>44</v>
      </c>
      <c r="H4" s="40">
        <v>5</v>
      </c>
      <c r="I4" s="40">
        <v>19</v>
      </c>
      <c r="J4" s="40">
        <v>13</v>
      </c>
      <c r="K4" s="40">
        <v>13</v>
      </c>
      <c r="L4" s="40">
        <v>10</v>
      </c>
      <c r="M4" s="40">
        <v>9</v>
      </c>
      <c r="N4" s="39">
        <v>10</v>
      </c>
      <c r="O4" s="309"/>
      <c r="P4" s="323"/>
      <c r="Q4" s="320"/>
    </row>
    <row r="5" spans="1:17" ht="47.25" customHeight="1" thickBot="1" x14ac:dyDescent="0.3">
      <c r="A5" s="314"/>
      <c r="B5" s="321"/>
      <c r="C5" s="324"/>
      <c r="D5" s="345" t="str">
        <f>'4к 9кл, 3к 11кл'!D5:H5</f>
        <v>17 неделя</v>
      </c>
      <c r="E5" s="342"/>
      <c r="F5" s="342"/>
      <c r="G5" s="342"/>
      <c r="H5" s="342"/>
      <c r="I5" s="342"/>
      <c r="J5" s="342"/>
      <c r="K5" s="342"/>
      <c r="L5" s="342"/>
      <c r="M5" s="342"/>
      <c r="N5" s="314"/>
      <c r="O5" s="314"/>
      <c r="P5" s="324"/>
      <c r="Q5" s="321"/>
    </row>
    <row r="6" spans="1:17" ht="210" customHeight="1" x14ac:dyDescent="0.25">
      <c r="A6" s="344" t="str">
        <f>'4к 9кл, 3к 11кл'!A6:A10</f>
        <v>Понедельник 22.12.2025</v>
      </c>
      <c r="B6" s="41" t="s">
        <v>19</v>
      </c>
      <c r="C6" s="42">
        <v>1</v>
      </c>
      <c r="E6" s="9" t="s">
        <v>133</v>
      </c>
      <c r="G6" s="112" t="s">
        <v>334</v>
      </c>
      <c r="H6" s="231"/>
      <c r="I6" s="111"/>
      <c r="K6" s="8"/>
      <c r="L6" s="280"/>
      <c r="M6" s="111" t="s">
        <v>383</v>
      </c>
      <c r="O6" s="343" t="str">
        <f>'4к 9кл, 3к 11кл'!A6:A10</f>
        <v>Понедельник 22.12.2025</v>
      </c>
      <c r="P6" s="139" t="s">
        <v>19</v>
      </c>
      <c r="Q6" s="64">
        <v>1</v>
      </c>
    </row>
    <row r="7" spans="1:17" ht="156.75" customHeight="1" x14ac:dyDescent="0.25">
      <c r="A7" s="306"/>
      <c r="B7" s="43" t="s">
        <v>21</v>
      </c>
      <c r="C7" s="44">
        <v>2</v>
      </c>
      <c r="D7" s="112" t="s">
        <v>160</v>
      </c>
      <c r="E7" s="112" t="s">
        <v>331</v>
      </c>
      <c r="F7" s="112" t="s">
        <v>164</v>
      </c>
      <c r="G7" s="244"/>
      <c r="H7" s="9" t="s">
        <v>335</v>
      </c>
      <c r="I7" s="112"/>
      <c r="J7" s="210"/>
      <c r="K7" s="9"/>
      <c r="L7" s="9" t="s">
        <v>282</v>
      </c>
      <c r="M7" s="112" t="s">
        <v>161</v>
      </c>
      <c r="N7" s="227"/>
      <c r="O7" s="320"/>
      <c r="P7" s="140" t="s">
        <v>21</v>
      </c>
      <c r="Q7" s="65">
        <v>2</v>
      </c>
    </row>
    <row r="8" spans="1:17" ht="176.25" customHeight="1" x14ac:dyDescent="0.25">
      <c r="A8" s="306"/>
      <c r="B8" s="43" t="s">
        <v>22</v>
      </c>
      <c r="C8" s="44">
        <v>3</v>
      </c>
      <c r="D8" s="112"/>
      <c r="E8" s="112" t="s">
        <v>332</v>
      </c>
      <c r="F8" s="112" t="s">
        <v>164</v>
      </c>
      <c r="G8" s="227"/>
      <c r="H8" s="10" t="s">
        <v>162</v>
      </c>
      <c r="I8" s="112"/>
      <c r="J8" s="227"/>
      <c r="K8" s="9"/>
      <c r="L8" s="148"/>
      <c r="M8" s="227"/>
      <c r="N8" s="5"/>
      <c r="O8" s="320"/>
      <c r="P8" s="140" t="s">
        <v>22</v>
      </c>
      <c r="Q8" s="65">
        <v>3</v>
      </c>
    </row>
    <row r="9" spans="1:17" ht="190.5" customHeight="1" x14ac:dyDescent="0.25">
      <c r="A9" s="306"/>
      <c r="B9" s="43" t="s">
        <v>23</v>
      </c>
      <c r="C9" s="44">
        <v>4</v>
      </c>
      <c r="D9" s="112"/>
      <c r="E9" s="112" t="s">
        <v>332</v>
      </c>
      <c r="F9" s="210" t="s">
        <v>291</v>
      </c>
      <c r="G9" s="227"/>
      <c r="H9" s="210" t="s">
        <v>163</v>
      </c>
      <c r="I9" s="112"/>
      <c r="K9" s="5"/>
      <c r="L9" s="148"/>
      <c r="M9" s="227"/>
      <c r="N9" s="9" t="s">
        <v>284</v>
      </c>
      <c r="O9" s="320"/>
      <c r="P9" s="140" t="s">
        <v>23</v>
      </c>
      <c r="Q9" s="65">
        <v>4</v>
      </c>
    </row>
    <row r="10" spans="1:17" ht="175.5" customHeight="1" thickBot="1" x14ac:dyDescent="0.3">
      <c r="A10" s="306"/>
      <c r="B10" s="43" t="s">
        <v>26</v>
      </c>
      <c r="C10" s="65">
        <v>5</v>
      </c>
      <c r="D10" s="156"/>
      <c r="E10" s="210" t="s">
        <v>333</v>
      </c>
      <c r="F10" s="269" t="s">
        <v>292</v>
      </c>
      <c r="H10" s="168" t="s">
        <v>281</v>
      </c>
      <c r="I10" s="147"/>
      <c r="J10" s="210"/>
      <c r="K10" s="168"/>
      <c r="L10" s="215"/>
      <c r="N10" s="241"/>
      <c r="O10" s="320"/>
      <c r="P10" s="43" t="s">
        <v>26</v>
      </c>
      <c r="Q10" s="157">
        <v>5</v>
      </c>
    </row>
    <row r="11" spans="1:17" ht="183.75" customHeight="1" x14ac:dyDescent="0.25">
      <c r="A11" s="337" t="str">
        <f>'4к 9кл, 3к 11кл'!A11:A15</f>
        <v>Вторник 23.12.2025</v>
      </c>
      <c r="B11" s="41" t="s">
        <v>19</v>
      </c>
      <c r="C11" s="42">
        <v>1</v>
      </c>
      <c r="E11" s="149"/>
      <c r="F11" s="220"/>
      <c r="G11" s="8" t="s">
        <v>356</v>
      </c>
      <c r="H11" s="183" t="s">
        <v>293</v>
      </c>
      <c r="I11" s="8" t="s">
        <v>287</v>
      </c>
      <c r="J11" s="8" t="s">
        <v>286</v>
      </c>
      <c r="K11" s="8"/>
      <c r="L11" s="220"/>
      <c r="M11" s="8" t="s">
        <v>285</v>
      </c>
      <c r="N11" s="168" t="s">
        <v>283</v>
      </c>
      <c r="O11" s="336" t="str">
        <f>'4к 9кл, 3к 11кл'!A11:A15</f>
        <v>Вторник 23.12.2025</v>
      </c>
      <c r="P11" s="139" t="s">
        <v>19</v>
      </c>
      <c r="Q11" s="64">
        <v>1</v>
      </c>
    </row>
    <row r="12" spans="1:17" ht="210" customHeight="1" x14ac:dyDescent="0.25">
      <c r="A12" s="306"/>
      <c r="B12" s="43" t="s">
        <v>21</v>
      </c>
      <c r="C12" s="44">
        <v>2</v>
      </c>
      <c r="D12" s="114" t="s">
        <v>158</v>
      </c>
      <c r="E12" s="281" t="s">
        <v>289</v>
      </c>
      <c r="F12" s="112" t="s">
        <v>120</v>
      </c>
      <c r="G12" s="112" t="s">
        <v>357</v>
      </c>
      <c r="H12" s="227"/>
      <c r="I12" s="148"/>
      <c r="J12" s="112"/>
      <c r="K12" s="9"/>
      <c r="L12" s="212" t="s">
        <v>165</v>
      </c>
      <c r="M12" s="227"/>
      <c r="N12" s="9"/>
      <c r="O12" s="309"/>
      <c r="P12" s="140" t="s">
        <v>21</v>
      </c>
      <c r="Q12" s="65">
        <v>2</v>
      </c>
    </row>
    <row r="13" spans="1:17" ht="171.75" customHeight="1" x14ac:dyDescent="0.25">
      <c r="A13" s="306"/>
      <c r="B13" s="43" t="s">
        <v>22</v>
      </c>
      <c r="C13" s="44">
        <v>3</v>
      </c>
      <c r="D13" s="112"/>
      <c r="E13" s="112"/>
      <c r="F13" s="112" t="s">
        <v>120</v>
      </c>
      <c r="G13" s="112" t="s">
        <v>358</v>
      </c>
      <c r="H13" s="227"/>
      <c r="I13" s="148"/>
      <c r="J13" s="112"/>
      <c r="K13" s="9"/>
      <c r="L13" s="148" t="s">
        <v>288</v>
      </c>
      <c r="M13" s="227"/>
      <c r="N13" s="9"/>
      <c r="O13" s="309"/>
      <c r="P13" s="140" t="s">
        <v>22</v>
      </c>
      <c r="Q13" s="65">
        <v>3</v>
      </c>
    </row>
    <row r="14" spans="1:17" ht="219.75" customHeight="1" x14ac:dyDescent="0.25">
      <c r="A14" s="306"/>
      <c r="B14" s="43" t="s">
        <v>23</v>
      </c>
      <c r="C14" s="44">
        <v>4</v>
      </c>
      <c r="D14" s="112"/>
      <c r="E14" s="112"/>
      <c r="F14" s="112" t="s">
        <v>120</v>
      </c>
      <c r="G14" s="112"/>
      <c r="H14" s="227"/>
      <c r="I14" s="148"/>
      <c r="J14" s="112"/>
      <c r="K14" s="9"/>
      <c r="L14" s="148"/>
      <c r="M14" s="227"/>
      <c r="N14" s="168"/>
      <c r="O14" s="309"/>
      <c r="P14" s="140" t="s">
        <v>23</v>
      </c>
      <c r="Q14" s="65">
        <v>4</v>
      </c>
    </row>
    <row r="15" spans="1:17" ht="154.5" customHeight="1" thickBot="1" x14ac:dyDescent="0.3">
      <c r="A15" s="312"/>
      <c r="B15" s="45" t="s">
        <v>26</v>
      </c>
      <c r="C15" s="46">
        <v>5</v>
      </c>
      <c r="D15" s="113"/>
      <c r="E15" s="113"/>
      <c r="F15" s="210" t="s">
        <v>323</v>
      </c>
      <c r="G15" s="113"/>
      <c r="I15" s="113"/>
      <c r="J15" s="168"/>
      <c r="K15" s="168"/>
      <c r="L15" s="213"/>
      <c r="M15" s="156"/>
      <c r="N15" s="168"/>
      <c r="O15" s="310"/>
      <c r="P15" s="141" t="s">
        <v>26</v>
      </c>
      <c r="Q15" s="66">
        <v>5</v>
      </c>
    </row>
    <row r="16" spans="1:17" ht="177.75" customHeight="1" x14ac:dyDescent="0.25">
      <c r="A16" s="344" t="str">
        <f>'4к 9кл, 3к 11кл'!A16:A20</f>
        <v>Среда 24.12.2025</v>
      </c>
      <c r="B16" s="41" t="s">
        <v>19</v>
      </c>
      <c r="C16" s="42">
        <v>1</v>
      </c>
      <c r="D16" s="302" t="s">
        <v>377</v>
      </c>
      <c r="E16" s="302" t="s">
        <v>376</v>
      </c>
      <c r="F16" s="360" t="s">
        <v>124</v>
      </c>
      <c r="G16" s="360" t="s">
        <v>166</v>
      </c>
      <c r="H16" s="361" t="s">
        <v>389</v>
      </c>
      <c r="I16" s="360" t="s">
        <v>123</v>
      </c>
      <c r="J16" s="360" t="s">
        <v>378</v>
      </c>
      <c r="K16" s="8"/>
      <c r="L16" s="211"/>
      <c r="N16" s="8"/>
      <c r="O16" s="343" t="str">
        <f>'4к 9кл, 3к 11кл'!A16:A20</f>
        <v>Среда 24.12.2025</v>
      </c>
      <c r="P16" s="139" t="s">
        <v>19</v>
      </c>
      <c r="Q16" s="64">
        <v>1</v>
      </c>
    </row>
    <row r="17" spans="1:17" ht="174" customHeight="1" x14ac:dyDescent="0.25">
      <c r="A17" s="306"/>
      <c r="B17" s="43" t="s">
        <v>21</v>
      </c>
      <c r="C17" s="44">
        <v>2</v>
      </c>
      <c r="D17" s="112"/>
      <c r="E17" s="112"/>
      <c r="F17" s="112"/>
      <c r="G17" s="112"/>
      <c r="H17" s="112"/>
      <c r="I17" s="112"/>
      <c r="J17" s="112"/>
      <c r="K17" s="9"/>
      <c r="L17" s="7"/>
      <c r="M17" s="112"/>
      <c r="N17" s="362"/>
      <c r="O17" s="320"/>
      <c r="P17" s="140" t="s">
        <v>21</v>
      </c>
      <c r="Q17" s="65">
        <v>2</v>
      </c>
    </row>
    <row r="18" spans="1:17" ht="165.75" customHeight="1" x14ac:dyDescent="0.25">
      <c r="A18" s="306"/>
      <c r="B18" s="43" t="s">
        <v>22</v>
      </c>
      <c r="C18" s="44">
        <v>3</v>
      </c>
      <c r="D18" s="112"/>
      <c r="E18" s="112"/>
      <c r="F18" s="112"/>
      <c r="G18" s="112"/>
      <c r="H18" s="112"/>
      <c r="I18" s="112"/>
      <c r="J18" s="112"/>
      <c r="K18" s="9"/>
      <c r="L18" s="212" t="s">
        <v>379</v>
      </c>
      <c r="N18" s="9" t="s">
        <v>380</v>
      </c>
      <c r="O18" s="320"/>
      <c r="P18" s="140" t="s">
        <v>22</v>
      </c>
      <c r="Q18" s="65">
        <v>3</v>
      </c>
    </row>
    <row r="19" spans="1:17" ht="165" customHeight="1" x14ac:dyDescent="0.25">
      <c r="A19" s="306"/>
      <c r="B19" s="43" t="s">
        <v>23</v>
      </c>
      <c r="C19" s="44">
        <v>4</v>
      </c>
      <c r="D19" s="112"/>
      <c r="E19" s="112"/>
      <c r="F19" s="112"/>
      <c r="G19" s="112"/>
      <c r="H19" s="112"/>
      <c r="I19" s="9"/>
      <c r="J19" s="112"/>
      <c r="K19" s="9"/>
      <c r="L19" s="148"/>
      <c r="M19" s="302" t="s">
        <v>167</v>
      </c>
      <c r="O19" s="320"/>
      <c r="P19" s="140" t="s">
        <v>23</v>
      </c>
      <c r="Q19" s="65">
        <v>4</v>
      </c>
    </row>
    <row r="20" spans="1:17" ht="157.5" customHeight="1" thickBot="1" x14ac:dyDescent="0.3">
      <c r="A20" s="306"/>
      <c r="B20" s="197" t="s">
        <v>26</v>
      </c>
      <c r="C20" s="56">
        <v>5</v>
      </c>
      <c r="D20" s="147"/>
      <c r="E20" s="114"/>
      <c r="F20" s="114"/>
      <c r="G20" s="114"/>
      <c r="H20" s="156"/>
      <c r="J20" s="114"/>
      <c r="K20" s="168"/>
      <c r="L20" s="214"/>
      <c r="M20" s="147"/>
      <c r="N20" s="168"/>
      <c r="O20" s="320"/>
      <c r="P20" s="198" t="s">
        <v>26</v>
      </c>
      <c r="Q20" s="157">
        <v>5</v>
      </c>
    </row>
    <row r="21" spans="1:17" ht="166.5" customHeight="1" x14ac:dyDescent="0.25">
      <c r="A21" s="337" t="str">
        <f>'4к 9кл, 3к 11кл'!A21:A25</f>
        <v>Четверг 25.12.2025</v>
      </c>
      <c r="B21" s="41" t="s">
        <v>19</v>
      </c>
      <c r="C21" s="42">
        <v>1</v>
      </c>
      <c r="D21" s="9" t="s">
        <v>290</v>
      </c>
      <c r="E21" s="111"/>
      <c r="F21" s="111"/>
      <c r="G21" s="199"/>
      <c r="H21" s="114" t="s">
        <v>159</v>
      </c>
      <c r="I21" s="360" t="s">
        <v>403</v>
      </c>
      <c r="J21" s="111"/>
      <c r="K21" s="8"/>
      <c r="L21" s="211"/>
      <c r="M21" s="276" t="s">
        <v>404</v>
      </c>
      <c r="N21" s="220"/>
      <c r="O21" s="336" t="str">
        <f>'4к 9кл, 3к 11кл'!A21:A25</f>
        <v>Четверг 25.12.2025</v>
      </c>
      <c r="P21" s="139" t="s">
        <v>19</v>
      </c>
      <c r="Q21" s="64">
        <v>1</v>
      </c>
    </row>
    <row r="22" spans="1:17" ht="169.5" customHeight="1" x14ac:dyDescent="0.25">
      <c r="A22" s="306"/>
      <c r="B22" s="43" t="s">
        <v>21</v>
      </c>
      <c r="C22" s="44">
        <v>2</v>
      </c>
      <c r="D22" s="114"/>
      <c r="E22" s="268"/>
      <c r="F22" s="210" t="s">
        <v>133</v>
      </c>
      <c r="G22" s="9"/>
      <c r="H22" s="112"/>
      <c r="I22" s="112"/>
      <c r="J22" s="112" t="s">
        <v>278</v>
      </c>
      <c r="K22" s="9"/>
      <c r="L22" s="148"/>
      <c r="M22" s="368" t="s">
        <v>404</v>
      </c>
      <c r="N22" s="168"/>
      <c r="O22" s="309"/>
      <c r="P22" s="140" t="s">
        <v>21</v>
      </c>
      <c r="Q22" s="65">
        <v>2</v>
      </c>
    </row>
    <row r="23" spans="1:17" ht="179.25" customHeight="1" x14ac:dyDescent="0.25">
      <c r="A23" s="306"/>
      <c r="B23" s="43" t="s">
        <v>22</v>
      </c>
      <c r="C23" s="44">
        <v>3</v>
      </c>
      <c r="D23" s="112"/>
      <c r="E23" s="268"/>
      <c r="F23" s="9" t="s">
        <v>125</v>
      </c>
      <c r="G23" s="112"/>
      <c r="H23" s="112"/>
      <c r="I23" s="112"/>
      <c r="J23" s="112"/>
      <c r="K23" s="9"/>
      <c r="L23" s="7"/>
      <c r="M23" s="368" t="s">
        <v>404</v>
      </c>
      <c r="N23" s="9" t="s">
        <v>405</v>
      </c>
      <c r="O23" s="309"/>
      <c r="P23" s="140" t="s">
        <v>22</v>
      </c>
      <c r="Q23" s="65">
        <v>3</v>
      </c>
    </row>
    <row r="24" spans="1:17" ht="193.5" customHeight="1" x14ac:dyDescent="0.25">
      <c r="A24" s="306"/>
      <c r="B24" s="43" t="s">
        <v>23</v>
      </c>
      <c r="C24" s="44">
        <v>4</v>
      </c>
      <c r="D24" s="112"/>
      <c r="E24" s="268"/>
      <c r="F24" s="112"/>
      <c r="G24" s="112"/>
      <c r="H24" s="112"/>
      <c r="I24" s="112"/>
      <c r="J24" s="112"/>
      <c r="K24" s="9"/>
      <c r="L24" s="212"/>
      <c r="M24" s="368" t="s">
        <v>404</v>
      </c>
      <c r="N24" s="243"/>
      <c r="O24" s="309"/>
      <c r="P24" s="140" t="s">
        <v>23</v>
      </c>
      <c r="Q24" s="65">
        <v>4</v>
      </c>
    </row>
    <row r="25" spans="1:17" ht="152.25" customHeight="1" thickBot="1" x14ac:dyDescent="0.3">
      <c r="A25" s="312"/>
      <c r="B25" s="45" t="s">
        <v>26</v>
      </c>
      <c r="C25" s="46">
        <v>5</v>
      </c>
      <c r="E25" s="210"/>
      <c r="F25" s="147"/>
      <c r="G25" s="147"/>
      <c r="H25" s="114"/>
      <c r="I25" s="113"/>
      <c r="K25" s="168"/>
      <c r="L25" s="7"/>
      <c r="M25" s="367" t="s">
        <v>404</v>
      </c>
      <c r="N25" s="9"/>
      <c r="O25" s="310"/>
      <c r="P25" s="141" t="s">
        <v>26</v>
      </c>
      <c r="Q25" s="66">
        <v>5</v>
      </c>
    </row>
    <row r="26" spans="1:17" ht="180.75" customHeight="1" x14ac:dyDescent="0.25">
      <c r="A26" s="344" t="str">
        <f>'4к 9кл, 3к 11кл'!A26:A30</f>
        <v>Пятница 26.12.2025</v>
      </c>
      <c r="B26" s="41" t="s">
        <v>19</v>
      </c>
      <c r="C26" s="42">
        <v>1</v>
      </c>
      <c r="D26" s="111"/>
      <c r="E26" s="220"/>
      <c r="F26" s="8" t="s">
        <v>130</v>
      </c>
      <c r="G26" s="8"/>
      <c r="H26" s="111"/>
      <c r="I26" s="111"/>
      <c r="J26" s="111"/>
      <c r="K26" s="273" t="s">
        <v>83</v>
      </c>
      <c r="L26" s="270"/>
      <c r="M26" s="278" t="s">
        <v>406</v>
      </c>
      <c r="N26" s="8"/>
      <c r="O26" s="343" t="str">
        <f>'4к 9кл, 3к 11кл'!A26:A30</f>
        <v>Пятница 26.12.2025</v>
      </c>
      <c r="P26" s="139" t="s">
        <v>19</v>
      </c>
      <c r="Q26" s="64">
        <v>1</v>
      </c>
    </row>
    <row r="27" spans="1:17" ht="143.25" customHeight="1" x14ac:dyDescent="0.25">
      <c r="A27" s="306"/>
      <c r="B27" s="43" t="s">
        <v>21</v>
      </c>
      <c r="C27" s="44">
        <v>2</v>
      </c>
      <c r="D27" s="112"/>
      <c r="E27" s="112"/>
      <c r="F27" s="9"/>
      <c r="G27" s="112"/>
      <c r="H27" s="112"/>
      <c r="I27" s="112"/>
      <c r="J27" s="9" t="s">
        <v>280</v>
      </c>
      <c r="K27" s="9"/>
      <c r="L27" s="271"/>
      <c r="M27" s="112"/>
      <c r="N27" s="168"/>
      <c r="O27" s="320"/>
      <c r="P27" s="140" t="s">
        <v>21</v>
      </c>
      <c r="Q27" s="65">
        <v>2</v>
      </c>
    </row>
    <row r="28" spans="1:17" ht="174" customHeight="1" x14ac:dyDescent="0.25">
      <c r="A28" s="306"/>
      <c r="B28" s="43" t="s">
        <v>22</v>
      </c>
      <c r="C28" s="44">
        <v>3</v>
      </c>
      <c r="D28" s="112"/>
      <c r="E28" s="112"/>
      <c r="F28" s="112"/>
      <c r="G28" s="112"/>
      <c r="H28" s="112"/>
      <c r="I28" s="9" t="s">
        <v>280</v>
      </c>
      <c r="J28" s="112"/>
      <c r="K28" s="9"/>
      <c r="L28" s="212" t="s">
        <v>168</v>
      </c>
      <c r="M28" s="112"/>
      <c r="N28" s="9"/>
      <c r="O28" s="320"/>
      <c r="P28" s="140" t="s">
        <v>22</v>
      </c>
      <c r="Q28" s="65">
        <v>3</v>
      </c>
    </row>
    <row r="29" spans="1:17" ht="188.25" customHeight="1" x14ac:dyDescent="0.25">
      <c r="A29" s="306"/>
      <c r="B29" s="43" t="s">
        <v>23</v>
      </c>
      <c r="C29" s="44">
        <v>4</v>
      </c>
      <c r="E29" s="112"/>
      <c r="F29" s="112"/>
      <c r="G29" s="112"/>
      <c r="H29" s="9" t="s">
        <v>280</v>
      </c>
      <c r="I29" s="112"/>
      <c r="J29" s="112"/>
      <c r="K29" s="9"/>
      <c r="L29" s="218" t="s">
        <v>169</v>
      </c>
      <c r="M29" s="210"/>
      <c r="N29" s="9"/>
      <c r="O29" s="320"/>
      <c r="P29" s="140" t="s">
        <v>23</v>
      </c>
      <c r="Q29" s="65">
        <v>4</v>
      </c>
    </row>
    <row r="30" spans="1:17" ht="156" customHeight="1" thickBot="1" x14ac:dyDescent="0.3">
      <c r="A30" s="306"/>
      <c r="B30" s="45" t="s">
        <v>26</v>
      </c>
      <c r="C30" s="56">
        <v>5</v>
      </c>
      <c r="D30" s="156"/>
      <c r="E30" s="112"/>
      <c r="G30" s="156"/>
      <c r="H30" s="156"/>
      <c r="I30" s="147"/>
      <c r="J30" s="147"/>
      <c r="K30" s="168"/>
      <c r="L30" s="272"/>
      <c r="M30" s="156"/>
      <c r="N30" s="156"/>
      <c r="O30" s="320"/>
      <c r="P30" s="45" t="s">
        <v>26</v>
      </c>
      <c r="Q30" s="157">
        <v>5</v>
      </c>
    </row>
    <row r="31" spans="1:17" ht="123.75" customHeight="1" x14ac:dyDescent="0.25">
      <c r="A31" s="337" t="str">
        <f>'4к 9кл, 3к 11кл'!A31:A35</f>
        <v>Суббота 27.12.2025</v>
      </c>
      <c r="B31" s="139" t="s">
        <v>19</v>
      </c>
      <c r="C31" s="64">
        <v>1</v>
      </c>
      <c r="D31" s="182"/>
      <c r="E31" s="183"/>
      <c r="F31" s="183"/>
      <c r="G31" s="114"/>
      <c r="H31" s="182"/>
      <c r="I31" s="183"/>
      <c r="J31" s="199"/>
      <c r="K31" s="8"/>
      <c r="L31" s="216"/>
      <c r="M31" s="276"/>
      <c r="N31" s="182"/>
      <c r="O31" s="336" t="str">
        <f>'4к 9кл, 3к 11кл'!A31:A35</f>
        <v>Суббота 27.12.2025</v>
      </c>
      <c r="P31" s="139" t="s">
        <v>19</v>
      </c>
      <c r="Q31" s="64">
        <v>1</v>
      </c>
    </row>
    <row r="32" spans="1:17" ht="141" customHeight="1" x14ac:dyDescent="0.25">
      <c r="A32" s="306"/>
      <c r="B32" s="43" t="s">
        <v>21</v>
      </c>
      <c r="C32" s="44">
        <v>2</v>
      </c>
      <c r="D32" s="181"/>
      <c r="E32" s="242"/>
      <c r="F32" s="181"/>
      <c r="G32" s="112"/>
      <c r="H32" s="180"/>
      <c r="I32" s="180"/>
      <c r="J32" s="208"/>
      <c r="K32" s="9"/>
      <c r="L32" s="234"/>
      <c r="M32" s="275"/>
      <c r="N32" s="217"/>
      <c r="O32" s="309"/>
      <c r="P32" s="43" t="s">
        <v>21</v>
      </c>
      <c r="Q32" s="65">
        <v>2</v>
      </c>
    </row>
    <row r="33" spans="1:17" ht="129.75" customHeight="1" x14ac:dyDescent="0.25">
      <c r="A33" s="306"/>
      <c r="B33" s="43" t="s">
        <v>22</v>
      </c>
      <c r="C33" s="65">
        <v>3</v>
      </c>
      <c r="D33" s="184"/>
      <c r="E33" s="9"/>
      <c r="F33" s="184"/>
      <c r="G33" s="112"/>
      <c r="H33" s="10"/>
      <c r="I33" s="10"/>
      <c r="J33" s="209"/>
      <c r="K33" s="274"/>
      <c r="L33" s="218"/>
      <c r="M33" s="275"/>
      <c r="N33" s="10"/>
      <c r="O33" s="309"/>
      <c r="P33" s="43" t="s">
        <v>22</v>
      </c>
      <c r="Q33" s="65">
        <v>3</v>
      </c>
    </row>
    <row r="34" spans="1:17" ht="145.5" customHeight="1" x14ac:dyDescent="0.25">
      <c r="A34" s="306"/>
      <c r="B34" s="43" t="s">
        <v>23</v>
      </c>
      <c r="C34" s="65">
        <v>4</v>
      </c>
      <c r="D34" s="9"/>
      <c r="E34" s="9"/>
      <c r="F34" s="9"/>
      <c r="G34" s="9"/>
      <c r="H34" s="9"/>
      <c r="I34" s="114"/>
      <c r="J34" s="112"/>
      <c r="K34" s="9"/>
      <c r="L34" s="212"/>
      <c r="M34" s="275"/>
      <c r="N34" s="9"/>
      <c r="O34" s="309"/>
      <c r="P34" s="43" t="s">
        <v>23</v>
      </c>
      <c r="Q34" s="65">
        <v>4</v>
      </c>
    </row>
    <row r="35" spans="1:17" ht="138" customHeight="1" thickBot="1" x14ac:dyDescent="0.3">
      <c r="A35" s="312"/>
      <c r="B35" s="45" t="s">
        <v>26</v>
      </c>
      <c r="C35" s="157">
        <v>5</v>
      </c>
      <c r="D35" s="168"/>
      <c r="E35" s="168"/>
      <c r="F35" s="168"/>
      <c r="G35" s="168"/>
      <c r="H35" s="168"/>
      <c r="I35" s="114"/>
      <c r="J35" s="210"/>
      <c r="K35" s="156"/>
      <c r="L35" s="215"/>
      <c r="M35" s="277"/>
      <c r="O35" s="310"/>
      <c r="P35" s="45" t="s">
        <v>26</v>
      </c>
      <c r="Q35" s="157">
        <v>5</v>
      </c>
    </row>
    <row r="36" spans="1:17" ht="357" customHeight="1" x14ac:dyDescent="0.3">
      <c r="A36" s="158"/>
      <c r="C36" s="159"/>
      <c r="D36" s="149"/>
      <c r="E36" s="149"/>
      <c r="F36" s="149"/>
      <c r="G36" s="149"/>
      <c r="H36" s="149"/>
      <c r="I36" s="149"/>
      <c r="J36" s="149"/>
      <c r="K36" s="108"/>
      <c r="L36" s="149"/>
      <c r="M36" s="149"/>
      <c r="N36" s="149"/>
      <c r="Q36" s="160"/>
    </row>
    <row r="37" spans="1:17" ht="357" customHeight="1" x14ac:dyDescent="0.3"/>
  </sheetData>
  <mergeCells count="19">
    <mergeCell ref="A31:A35"/>
    <mergeCell ref="P1:P5"/>
    <mergeCell ref="O6:O10"/>
    <mergeCell ref="A11:A15"/>
    <mergeCell ref="A1:A5"/>
    <mergeCell ref="C1:C5"/>
    <mergeCell ref="A6:A10"/>
    <mergeCell ref="O1:O5"/>
    <mergeCell ref="A16:A20"/>
    <mergeCell ref="D5:N5"/>
    <mergeCell ref="O31:O35"/>
    <mergeCell ref="A21:A25"/>
    <mergeCell ref="O16:O20"/>
    <mergeCell ref="A26:A30"/>
    <mergeCell ref="O21:O25"/>
    <mergeCell ref="Q1:Q5"/>
    <mergeCell ref="B1:B5"/>
    <mergeCell ref="O26:O30"/>
    <mergeCell ref="O11:O1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X36"/>
  <sheetViews>
    <sheetView tabSelected="1" zoomScale="55" zoomScaleNormal="55" workbookViewId="0">
      <pane xSplit="3" ySplit="5" topLeftCell="J15" activePane="bottomRight" state="frozen"/>
      <selection pane="topRight" activeCell="D1" sqref="D1"/>
      <selection pane="bottomLeft" activeCell="A6" sqref="A6"/>
      <selection pane="bottomRight" activeCell="S21" sqref="S21"/>
    </sheetView>
  </sheetViews>
  <sheetFormatPr defaultRowHeight="15" x14ac:dyDescent="0.25"/>
  <cols>
    <col min="1" max="1" width="9.140625" style="174" customWidth="1"/>
    <col min="2" max="3" width="5.7109375" style="82" customWidth="1"/>
    <col min="4" max="4" width="35.5703125" style="172" customWidth="1"/>
    <col min="5" max="5" width="35.85546875" style="172" customWidth="1"/>
    <col min="6" max="6" width="35.7109375" style="172" customWidth="1"/>
    <col min="7" max="7" width="34.42578125" style="172" customWidth="1"/>
    <col min="8" max="8" width="36.140625" style="172" customWidth="1"/>
    <col min="9" max="9" width="36.85546875" style="172" customWidth="1"/>
    <col min="10" max="10" width="36" style="172" customWidth="1"/>
    <col min="11" max="12" width="36.140625" style="172" customWidth="1"/>
    <col min="13" max="13" width="36.42578125" style="172" customWidth="1"/>
    <col min="14" max="14" width="35.28515625" style="172" customWidth="1"/>
    <col min="15" max="16" width="35.42578125" style="172" customWidth="1"/>
    <col min="17" max="17" width="36.42578125" style="172" customWidth="1"/>
    <col min="18" max="20" width="36.140625" style="172" customWidth="1"/>
    <col min="21" max="21" width="36.140625" style="173" customWidth="1"/>
    <col min="22" max="22" width="9.140625" style="174" customWidth="1"/>
    <col min="23" max="24" width="5.7109375" style="82" customWidth="1"/>
  </cols>
  <sheetData>
    <row r="1" spans="1:24" ht="21" customHeight="1" x14ac:dyDescent="0.25">
      <c r="A1" s="351" t="s">
        <v>0</v>
      </c>
      <c r="B1" s="349" t="s">
        <v>1</v>
      </c>
      <c r="C1" s="352" t="s">
        <v>2</v>
      </c>
      <c r="D1" s="83" t="s">
        <v>170</v>
      </c>
      <c r="E1" s="83" t="s">
        <v>171</v>
      </c>
      <c r="F1" s="83" t="s">
        <v>172</v>
      </c>
      <c r="G1" s="83" t="s">
        <v>173</v>
      </c>
      <c r="H1" s="83" t="s">
        <v>174</v>
      </c>
      <c r="I1" s="83" t="s">
        <v>175</v>
      </c>
      <c r="J1" s="83" t="s">
        <v>176</v>
      </c>
      <c r="K1" s="83" t="s">
        <v>177</v>
      </c>
      <c r="L1" s="83" t="s">
        <v>178</v>
      </c>
      <c r="M1" s="83" t="s">
        <v>179</v>
      </c>
      <c r="N1" s="83" t="s">
        <v>180</v>
      </c>
      <c r="O1" s="83" t="s">
        <v>181</v>
      </c>
      <c r="P1" s="83" t="s">
        <v>182</v>
      </c>
      <c r="Q1" s="83" t="s">
        <v>183</v>
      </c>
      <c r="R1" s="83" t="s">
        <v>184</v>
      </c>
      <c r="S1" s="83" t="s">
        <v>185</v>
      </c>
      <c r="T1" s="83" t="s">
        <v>186</v>
      </c>
      <c r="U1" s="13" t="s">
        <v>187</v>
      </c>
      <c r="V1" s="353" t="s">
        <v>0</v>
      </c>
      <c r="W1" s="349" t="s">
        <v>1</v>
      </c>
      <c r="X1" s="355" t="s">
        <v>2</v>
      </c>
    </row>
    <row r="2" spans="1:24" ht="93.75" customHeight="1" x14ac:dyDescent="0.25">
      <c r="A2" s="306"/>
      <c r="B2" s="320"/>
      <c r="C2" s="323"/>
      <c r="D2" s="154" t="s">
        <v>188</v>
      </c>
      <c r="E2" s="154" t="s">
        <v>101</v>
      </c>
      <c r="F2" s="154" t="s">
        <v>189</v>
      </c>
      <c r="G2" s="154" t="s">
        <v>8</v>
      </c>
      <c r="H2" s="154" t="s">
        <v>8</v>
      </c>
      <c r="I2" s="154" t="s">
        <v>9</v>
      </c>
      <c r="J2" s="154" t="s">
        <v>102</v>
      </c>
      <c r="K2" s="154" t="s">
        <v>52</v>
      </c>
      <c r="L2" s="154" t="s">
        <v>52</v>
      </c>
      <c r="M2" s="154" t="s">
        <v>103</v>
      </c>
      <c r="N2" s="154" t="s">
        <v>103</v>
      </c>
      <c r="O2" s="166" t="s">
        <v>56</v>
      </c>
      <c r="P2" s="154" t="s">
        <v>56</v>
      </c>
      <c r="Q2" s="154" t="s">
        <v>56</v>
      </c>
      <c r="R2" s="154" t="s">
        <v>104</v>
      </c>
      <c r="S2" s="154" t="s">
        <v>104</v>
      </c>
      <c r="T2" s="154" t="s">
        <v>104</v>
      </c>
      <c r="U2" s="166" t="s">
        <v>146</v>
      </c>
      <c r="V2" s="309"/>
      <c r="W2" s="320"/>
      <c r="X2" s="320"/>
    </row>
    <row r="3" spans="1:24" ht="19.5" customHeight="1" thickBot="1" x14ac:dyDescent="0.3">
      <c r="A3" s="306"/>
      <c r="B3" s="320"/>
      <c r="C3" s="323"/>
      <c r="D3" s="116" t="s">
        <v>190</v>
      </c>
      <c r="E3" s="116" t="s">
        <v>191</v>
      </c>
      <c r="F3" s="116" t="s">
        <v>192</v>
      </c>
      <c r="G3" s="116" t="s">
        <v>193</v>
      </c>
      <c r="H3" s="116" t="s">
        <v>194</v>
      </c>
      <c r="I3" s="116" t="s">
        <v>195</v>
      </c>
      <c r="J3" s="116" t="s">
        <v>196</v>
      </c>
      <c r="K3" s="116" t="s">
        <v>197</v>
      </c>
      <c r="L3" s="116" t="s">
        <v>198</v>
      </c>
      <c r="M3" s="116" t="s">
        <v>199</v>
      </c>
      <c r="N3" s="116" t="s">
        <v>200</v>
      </c>
      <c r="O3" s="116" t="s">
        <v>201</v>
      </c>
      <c r="P3" s="116" t="s">
        <v>202</v>
      </c>
      <c r="Q3" s="116" t="s">
        <v>203</v>
      </c>
      <c r="R3" s="116" t="s">
        <v>204</v>
      </c>
      <c r="S3" s="116" t="s">
        <v>205</v>
      </c>
      <c r="T3" s="116" t="s">
        <v>206</v>
      </c>
      <c r="U3" s="72" t="s">
        <v>207</v>
      </c>
      <c r="V3" s="309"/>
      <c r="W3" s="320"/>
      <c r="X3" s="320"/>
    </row>
    <row r="4" spans="1:24" ht="19.5" customHeight="1" thickBot="1" x14ac:dyDescent="0.3">
      <c r="A4" s="306"/>
      <c r="B4" s="320"/>
      <c r="C4" s="323"/>
      <c r="D4" s="73">
        <v>23</v>
      </c>
      <c r="E4" s="73">
        <v>13</v>
      </c>
      <c r="F4" s="73">
        <v>24</v>
      </c>
      <c r="G4" s="73">
        <v>27</v>
      </c>
      <c r="H4" s="73">
        <v>25</v>
      </c>
      <c r="I4" s="73">
        <v>25</v>
      </c>
      <c r="J4" s="73">
        <v>8</v>
      </c>
      <c r="K4" s="73">
        <v>27</v>
      </c>
      <c r="L4" s="73">
        <v>33</v>
      </c>
      <c r="M4" s="73">
        <v>28</v>
      </c>
      <c r="N4" s="73">
        <v>23</v>
      </c>
      <c r="O4" s="73">
        <v>27</v>
      </c>
      <c r="P4" s="73">
        <v>16</v>
      </c>
      <c r="Q4" s="73">
        <v>11</v>
      </c>
      <c r="R4" s="73">
        <v>39</v>
      </c>
      <c r="S4" s="73">
        <v>36</v>
      </c>
      <c r="T4" s="73">
        <v>14</v>
      </c>
      <c r="U4" s="74">
        <v>11</v>
      </c>
      <c r="V4" s="309"/>
      <c r="W4" s="320"/>
      <c r="X4" s="356"/>
    </row>
    <row r="5" spans="1:24" ht="29.25" customHeight="1" thickBot="1" x14ac:dyDescent="0.3">
      <c r="A5" s="191"/>
      <c r="B5" s="190"/>
      <c r="C5" s="192"/>
      <c r="D5" s="354" t="str">
        <f>'4к 9кл, 3к 11кл'!D5:H5</f>
        <v>17 неделя</v>
      </c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193"/>
      <c r="W5" s="190"/>
      <c r="X5" s="188"/>
    </row>
    <row r="6" spans="1:24" ht="100.5" customHeight="1" x14ac:dyDescent="0.25">
      <c r="A6" s="347" t="str">
        <f>'4к 9кл, 3к 11кл'!A6:A10</f>
        <v>Понедельник 22.12.2025</v>
      </c>
      <c r="B6" s="75" t="s">
        <v>19</v>
      </c>
      <c r="C6" s="76">
        <v>1</v>
      </c>
      <c r="D6" s="219"/>
      <c r="E6" s="59" t="s">
        <v>294</v>
      </c>
      <c r="G6" s="196" t="s">
        <v>209</v>
      </c>
      <c r="H6" s="58"/>
      <c r="I6" s="58" t="s">
        <v>210</v>
      </c>
      <c r="J6" s="58" t="s">
        <v>210</v>
      </c>
      <c r="K6" s="4" t="s">
        <v>211</v>
      </c>
      <c r="L6" s="58" t="s">
        <v>248</v>
      </c>
      <c r="O6" s="59"/>
      <c r="P6" s="50" t="s">
        <v>212</v>
      </c>
      <c r="Q6" s="58" t="s">
        <v>343</v>
      </c>
      <c r="R6" s="54" t="s">
        <v>346</v>
      </c>
      <c r="S6" s="219"/>
      <c r="T6" s="54" t="s">
        <v>348</v>
      </c>
      <c r="U6" s="58" t="s">
        <v>214</v>
      </c>
      <c r="V6" s="348" t="str">
        <f>'4к 9кл, 3к 11кл'!A6:A10</f>
        <v>Понедельник 22.12.2025</v>
      </c>
      <c r="W6" s="75" t="s">
        <v>19</v>
      </c>
      <c r="X6" s="79">
        <v>1</v>
      </c>
    </row>
    <row r="7" spans="1:24" ht="93.75" customHeight="1" x14ac:dyDescent="0.25">
      <c r="A7" s="306"/>
      <c r="B7" s="188" t="s">
        <v>21</v>
      </c>
      <c r="C7" s="77">
        <v>2</v>
      </c>
      <c r="D7" s="236"/>
      <c r="E7" s="54" t="s">
        <v>337</v>
      </c>
      <c r="F7" s="4"/>
      <c r="G7" s="5" t="s">
        <v>298</v>
      </c>
      <c r="H7" s="120"/>
      <c r="I7" s="58" t="s">
        <v>210</v>
      </c>
      <c r="J7" s="58" t="s">
        <v>210</v>
      </c>
      <c r="K7" s="4" t="s">
        <v>312</v>
      </c>
      <c r="L7" s="58" t="s">
        <v>248</v>
      </c>
      <c r="M7" s="233"/>
      <c r="N7" s="58" t="s">
        <v>338</v>
      </c>
      <c r="O7" s="4" t="s">
        <v>342</v>
      </c>
      <c r="P7" s="50" t="s">
        <v>221</v>
      </c>
      <c r="Q7" s="4" t="s">
        <v>342</v>
      </c>
      <c r="R7" s="58" t="s">
        <v>214</v>
      </c>
      <c r="S7" s="5" t="s">
        <v>344</v>
      </c>
      <c r="T7" s="118" t="s">
        <v>208</v>
      </c>
      <c r="U7" s="54" t="s">
        <v>337</v>
      </c>
      <c r="V7" s="320"/>
      <c r="W7" s="188" t="s">
        <v>21</v>
      </c>
      <c r="X7" s="79">
        <v>2</v>
      </c>
    </row>
    <row r="8" spans="1:24" ht="159" customHeight="1" x14ac:dyDescent="0.25">
      <c r="A8" s="306"/>
      <c r="B8" s="188" t="s">
        <v>22</v>
      </c>
      <c r="C8" s="77">
        <v>3</v>
      </c>
      <c r="D8" s="4" t="s">
        <v>394</v>
      </c>
      <c r="E8" s="54" t="s">
        <v>337</v>
      </c>
      <c r="F8" s="228"/>
      <c r="G8" s="54" t="s">
        <v>220</v>
      </c>
      <c r="H8" s="4" t="s">
        <v>211</v>
      </c>
      <c r="I8" s="58" t="s">
        <v>210</v>
      </c>
      <c r="J8" s="58" t="s">
        <v>210</v>
      </c>
      <c r="K8" s="58"/>
      <c r="L8" s="58" t="s">
        <v>248</v>
      </c>
      <c r="N8" s="58" t="s">
        <v>338</v>
      </c>
      <c r="O8" s="4" t="s">
        <v>221</v>
      </c>
      <c r="P8" s="118" t="s">
        <v>341</v>
      </c>
      <c r="Q8" s="233"/>
      <c r="R8" s="58" t="s">
        <v>223</v>
      </c>
      <c r="S8" s="279" t="s">
        <v>344</v>
      </c>
      <c r="T8" s="5" t="s">
        <v>225</v>
      </c>
      <c r="U8" s="54" t="s">
        <v>337</v>
      </c>
      <c r="V8" s="320"/>
      <c r="W8" s="188" t="s">
        <v>22</v>
      </c>
      <c r="X8" s="79">
        <v>3</v>
      </c>
    </row>
    <row r="9" spans="1:24" ht="103.5" customHeight="1" x14ac:dyDescent="0.25">
      <c r="A9" s="306"/>
      <c r="B9" s="188" t="s">
        <v>23</v>
      </c>
      <c r="C9" s="77">
        <v>4</v>
      </c>
      <c r="D9" s="54" t="s">
        <v>395</v>
      </c>
      <c r="E9" s="54" t="s">
        <v>337</v>
      </c>
      <c r="F9" s="54" t="s">
        <v>212</v>
      </c>
      <c r="G9" s="54" t="s">
        <v>274</v>
      </c>
      <c r="H9" s="4" t="s">
        <v>312</v>
      </c>
      <c r="I9" s="58" t="s">
        <v>210</v>
      </c>
      <c r="J9" s="58" t="s">
        <v>210</v>
      </c>
      <c r="K9" s="58"/>
      <c r="L9" s="58" t="s">
        <v>248</v>
      </c>
      <c r="M9" s="58" t="s">
        <v>298</v>
      </c>
      <c r="N9" s="58" t="s">
        <v>339</v>
      </c>
      <c r="O9" s="5"/>
      <c r="P9" s="54"/>
      <c r="Q9" s="282"/>
      <c r="R9" s="58" t="s">
        <v>227</v>
      </c>
      <c r="S9" s="5" t="s">
        <v>345</v>
      </c>
      <c r="T9" s="5" t="s">
        <v>228</v>
      </c>
      <c r="U9" s="54" t="s">
        <v>337</v>
      </c>
      <c r="V9" s="320"/>
      <c r="W9" s="188" t="s">
        <v>23</v>
      </c>
      <c r="X9" s="79">
        <v>4</v>
      </c>
    </row>
    <row r="10" spans="1:24" ht="114.75" customHeight="1" thickBot="1" x14ac:dyDescent="0.3">
      <c r="A10" s="306"/>
      <c r="B10" s="81" t="s">
        <v>26</v>
      </c>
      <c r="C10" s="80">
        <v>5</v>
      </c>
      <c r="D10" s="118" t="s">
        <v>211</v>
      </c>
      <c r="E10" s="54" t="s">
        <v>337</v>
      </c>
      <c r="F10" s="229" t="s">
        <v>295</v>
      </c>
      <c r="H10" s="118" t="s">
        <v>306</v>
      </c>
      <c r="I10" s="120" t="s">
        <v>210</v>
      </c>
      <c r="J10" s="120" t="s">
        <v>210</v>
      </c>
      <c r="K10" s="120"/>
      <c r="L10" s="229" t="s">
        <v>260</v>
      </c>
      <c r="N10" s="54" t="s">
        <v>340</v>
      </c>
      <c r="Q10" s="118"/>
      <c r="R10" s="58" t="s">
        <v>347</v>
      </c>
      <c r="S10" s="235"/>
      <c r="U10" s="118" t="s">
        <v>337</v>
      </c>
      <c r="V10" s="320"/>
      <c r="W10" s="81" t="s">
        <v>26</v>
      </c>
      <c r="X10" s="79">
        <v>5</v>
      </c>
    </row>
    <row r="11" spans="1:24" ht="93.75" customHeight="1" x14ac:dyDescent="0.25">
      <c r="A11" s="350" t="str">
        <f>'4к 9кл, 3к 11кл'!A11:A15</f>
        <v>Вторник 23.12.2025</v>
      </c>
      <c r="B11" s="75" t="s">
        <v>19</v>
      </c>
      <c r="C11" s="76">
        <v>1</v>
      </c>
      <c r="D11" s="219"/>
      <c r="E11" s="246" t="s">
        <v>215</v>
      </c>
      <c r="F11" s="54" t="s">
        <v>230</v>
      </c>
      <c r="G11" s="59" t="s">
        <v>231</v>
      </c>
      <c r="H11" s="152" t="s">
        <v>220</v>
      </c>
      <c r="I11" s="219"/>
      <c r="J11" s="219"/>
      <c r="K11" s="246" t="s">
        <v>210</v>
      </c>
      <c r="L11" s="119" t="s">
        <v>212</v>
      </c>
      <c r="M11" s="246"/>
      <c r="N11" s="246" t="s">
        <v>232</v>
      </c>
      <c r="O11" s="167" t="s">
        <v>367</v>
      </c>
      <c r="P11" s="152" t="s">
        <v>211</v>
      </c>
      <c r="Q11" s="152"/>
      <c r="R11" s="196" t="s">
        <v>369</v>
      </c>
      <c r="S11" s="228" t="s">
        <v>370</v>
      </c>
      <c r="T11" s="3" t="s">
        <v>371</v>
      </c>
      <c r="U11" s="3" t="s">
        <v>372</v>
      </c>
      <c r="V11" s="346" t="str">
        <f>'4к 9кл, 3к 11кл'!A11:A15</f>
        <v>Вторник 23.12.2025</v>
      </c>
      <c r="W11" s="75" t="s">
        <v>19</v>
      </c>
      <c r="X11" s="79">
        <v>1</v>
      </c>
    </row>
    <row r="12" spans="1:24" ht="93.75" customHeight="1" x14ac:dyDescent="0.25">
      <c r="A12" s="306"/>
      <c r="B12" s="188" t="s">
        <v>21</v>
      </c>
      <c r="C12" s="77">
        <v>2</v>
      </c>
      <c r="D12" s="54" t="s">
        <v>272</v>
      </c>
      <c r="E12" s="5" t="s">
        <v>223</v>
      </c>
      <c r="F12" s="5" t="s">
        <v>223</v>
      </c>
      <c r="G12" s="120" t="s">
        <v>234</v>
      </c>
      <c r="H12" s="54" t="s">
        <v>235</v>
      </c>
      <c r="I12" s="233"/>
      <c r="J12" s="233"/>
      <c r="K12" s="50" t="s">
        <v>210</v>
      </c>
      <c r="L12" s="58" t="s">
        <v>221</v>
      </c>
      <c r="M12" s="5"/>
      <c r="N12" s="233"/>
      <c r="O12" s="4" t="s">
        <v>367</v>
      </c>
      <c r="P12" s="54" t="s">
        <v>211</v>
      </c>
      <c r="Q12" s="4" t="s">
        <v>368</v>
      </c>
      <c r="R12" s="5" t="s">
        <v>369</v>
      </c>
      <c r="S12" s="228" t="s">
        <v>370</v>
      </c>
      <c r="T12" s="58" t="s">
        <v>253</v>
      </c>
      <c r="U12" s="5" t="s">
        <v>236</v>
      </c>
      <c r="V12" s="309"/>
      <c r="W12" s="188" t="s">
        <v>21</v>
      </c>
      <c r="X12" s="79">
        <v>2</v>
      </c>
    </row>
    <row r="13" spans="1:24" ht="93.75" customHeight="1" x14ac:dyDescent="0.25">
      <c r="A13" s="306"/>
      <c r="B13" s="188" t="s">
        <v>22</v>
      </c>
      <c r="C13" s="77">
        <v>3</v>
      </c>
      <c r="D13" s="54" t="s">
        <v>220</v>
      </c>
      <c r="E13" s="54" t="s">
        <v>237</v>
      </c>
      <c r="F13" s="54" t="s">
        <v>230</v>
      </c>
      <c r="G13" s="120" t="s">
        <v>238</v>
      </c>
      <c r="H13" s="54" t="s">
        <v>239</v>
      </c>
      <c r="I13" s="54" t="s">
        <v>275</v>
      </c>
      <c r="J13" s="5"/>
      <c r="K13" s="5" t="s">
        <v>210</v>
      </c>
      <c r="L13" s="58" t="s">
        <v>240</v>
      </c>
      <c r="M13" s="5"/>
      <c r="N13" s="58"/>
      <c r="O13" s="4" t="s">
        <v>367</v>
      </c>
      <c r="P13" s="54" t="s">
        <v>216</v>
      </c>
      <c r="Q13" s="50" t="s">
        <v>212</v>
      </c>
      <c r="R13" s="5" t="s">
        <v>369</v>
      </c>
      <c r="S13" s="228" t="s">
        <v>370</v>
      </c>
      <c r="T13" s="58" t="s">
        <v>242</v>
      </c>
      <c r="U13" s="5" t="s">
        <v>372</v>
      </c>
      <c r="V13" s="309"/>
      <c r="W13" s="188" t="s">
        <v>22</v>
      </c>
      <c r="X13" s="79">
        <v>3</v>
      </c>
    </row>
    <row r="14" spans="1:24" ht="93.75" customHeight="1" x14ac:dyDescent="0.25">
      <c r="A14" s="306"/>
      <c r="B14" s="188" t="s">
        <v>23</v>
      </c>
      <c r="C14" s="77">
        <v>4</v>
      </c>
      <c r="D14" s="54" t="s">
        <v>220</v>
      </c>
      <c r="E14" s="54" t="s">
        <v>215</v>
      </c>
      <c r="F14" s="54" t="s">
        <v>243</v>
      </c>
      <c r="G14" s="5" t="s">
        <v>244</v>
      </c>
      <c r="H14" s="54" t="s">
        <v>245</v>
      </c>
      <c r="I14" s="54" t="s">
        <v>246</v>
      </c>
      <c r="J14" s="233"/>
      <c r="K14" s="5" t="s">
        <v>365</v>
      </c>
      <c r="L14" s="58"/>
      <c r="M14" s="5"/>
      <c r="N14" s="58"/>
      <c r="O14" s="4" t="s">
        <v>367</v>
      </c>
      <c r="P14" s="50"/>
      <c r="Q14" s="50" t="s">
        <v>221</v>
      </c>
      <c r="R14" s="5" t="s">
        <v>369</v>
      </c>
      <c r="S14" s="228" t="s">
        <v>370</v>
      </c>
      <c r="T14" s="120" t="s">
        <v>321</v>
      </c>
      <c r="U14" s="5" t="s">
        <v>372</v>
      </c>
      <c r="V14" s="309"/>
      <c r="W14" s="188" t="s">
        <v>23</v>
      </c>
      <c r="X14" s="79">
        <v>4</v>
      </c>
    </row>
    <row r="15" spans="1:24" ht="108.75" customHeight="1" thickBot="1" x14ac:dyDescent="0.3">
      <c r="A15" s="312"/>
      <c r="B15" s="189" t="s">
        <v>26</v>
      </c>
      <c r="C15" s="78">
        <v>5</v>
      </c>
      <c r="D15" s="162"/>
      <c r="E15" s="55" t="s">
        <v>215</v>
      </c>
      <c r="F15" s="229" t="s">
        <v>249</v>
      </c>
      <c r="G15" s="229" t="s">
        <v>250</v>
      </c>
      <c r="H15" s="162" t="s">
        <v>226</v>
      </c>
      <c r="J15" s="284"/>
      <c r="K15" s="55"/>
      <c r="L15" s="55"/>
      <c r="M15" s="229" t="s">
        <v>390</v>
      </c>
      <c r="N15" s="120"/>
      <c r="O15" s="165" t="s">
        <v>216</v>
      </c>
      <c r="P15" s="229"/>
      <c r="Q15" s="117"/>
      <c r="R15" s="228" t="s">
        <v>369</v>
      </c>
      <c r="S15" s="120" t="s">
        <v>246</v>
      </c>
      <c r="T15" s="235"/>
      <c r="U15" s="50" t="s">
        <v>372</v>
      </c>
      <c r="V15" s="310"/>
      <c r="W15" s="189" t="s">
        <v>26</v>
      </c>
      <c r="X15" s="79">
        <v>5</v>
      </c>
    </row>
    <row r="16" spans="1:24" ht="117.75" customHeight="1" x14ac:dyDescent="0.25">
      <c r="A16" s="347" t="str">
        <f>'4к 9кл, 3к 11кл'!A16:A20</f>
        <v>Среда 24.12.2025</v>
      </c>
      <c r="B16" s="75" t="s">
        <v>19</v>
      </c>
      <c r="C16" s="76">
        <v>1</v>
      </c>
      <c r="D16" s="161" t="s">
        <v>382</v>
      </c>
      <c r="E16" s="118" t="s">
        <v>304</v>
      </c>
      <c r="F16" s="54" t="s">
        <v>252</v>
      </c>
      <c r="G16" s="282"/>
      <c r="H16" s="196" t="s">
        <v>301</v>
      </c>
      <c r="I16" s="219"/>
      <c r="J16" s="4" t="s">
        <v>273</v>
      </c>
      <c r="K16" s="58" t="s">
        <v>212</v>
      </c>
      <c r="M16" s="246" t="s">
        <v>311</v>
      </c>
      <c r="N16" s="152" t="s">
        <v>211</v>
      </c>
      <c r="O16" s="219"/>
      <c r="Q16" s="4" t="s">
        <v>382</v>
      </c>
      <c r="R16" s="152" t="s">
        <v>233</v>
      </c>
      <c r="S16" s="196"/>
      <c r="T16" s="228"/>
      <c r="U16" s="219"/>
      <c r="V16" s="348" t="str">
        <f>'4к 9кл, 3к 11кл'!A16:A20</f>
        <v>Среда 24.12.2025</v>
      </c>
      <c r="W16" s="75" t="s">
        <v>19</v>
      </c>
      <c r="X16" s="79">
        <v>1</v>
      </c>
    </row>
    <row r="17" spans="1:24" ht="117.75" customHeight="1" x14ac:dyDescent="0.25">
      <c r="A17" s="306"/>
      <c r="B17" s="188" t="s">
        <v>21</v>
      </c>
      <c r="C17" s="77">
        <v>2</v>
      </c>
      <c r="D17" s="161" t="s">
        <v>382</v>
      </c>
      <c r="E17" s="54" t="s">
        <v>384</v>
      </c>
      <c r="F17" s="54" t="s">
        <v>303</v>
      </c>
      <c r="G17" s="54"/>
      <c r="H17" s="5" t="s">
        <v>302</v>
      </c>
      <c r="J17" s="118" t="s">
        <v>274</v>
      </c>
      <c r="K17" s="58" t="s">
        <v>212</v>
      </c>
      <c r="L17" s="236"/>
      <c r="M17" s="58" t="s">
        <v>310</v>
      </c>
      <c r="N17" s="4" t="s">
        <v>211</v>
      </c>
      <c r="O17" s="282"/>
      <c r="P17" s="5" t="s">
        <v>392</v>
      </c>
      <c r="Q17" s="4" t="s">
        <v>382</v>
      </c>
      <c r="R17" s="54" t="s">
        <v>315</v>
      </c>
      <c r="S17" s="5"/>
      <c r="T17" s="54" t="s">
        <v>212</v>
      </c>
      <c r="U17" s="5" t="s">
        <v>218</v>
      </c>
      <c r="V17" s="320"/>
      <c r="W17" s="188" t="s">
        <v>21</v>
      </c>
      <c r="X17" s="79">
        <v>2</v>
      </c>
    </row>
    <row r="18" spans="1:24" ht="113.25" customHeight="1" thickBot="1" x14ac:dyDescent="0.3">
      <c r="A18" s="306"/>
      <c r="B18" s="188" t="s">
        <v>22</v>
      </c>
      <c r="C18" s="77">
        <v>3</v>
      </c>
      <c r="D18" s="118" t="s">
        <v>211</v>
      </c>
      <c r="E18" s="363" t="s">
        <v>385</v>
      </c>
      <c r="F18" s="363" t="s">
        <v>240</v>
      </c>
      <c r="G18" s="54"/>
      <c r="H18" s="120" t="s">
        <v>305</v>
      </c>
      <c r="I18" s="118" t="s">
        <v>274</v>
      </c>
      <c r="J18" s="5" t="s">
        <v>388</v>
      </c>
      <c r="K18" s="58" t="s">
        <v>221</v>
      </c>
      <c r="L18" s="290"/>
      <c r="M18" s="5" t="s">
        <v>309</v>
      </c>
      <c r="N18" s="4" t="s">
        <v>312</v>
      </c>
      <c r="O18" s="4" t="s">
        <v>247</v>
      </c>
      <c r="P18" s="54" t="s">
        <v>314</v>
      </c>
      <c r="Q18" s="290"/>
      <c r="R18" s="58" t="s">
        <v>253</v>
      </c>
      <c r="S18" s="5"/>
      <c r="T18" s="54" t="s">
        <v>212</v>
      </c>
      <c r="U18" s="5" t="s">
        <v>254</v>
      </c>
      <c r="V18" s="320"/>
      <c r="W18" s="188" t="s">
        <v>22</v>
      </c>
      <c r="X18" s="79">
        <v>3</v>
      </c>
    </row>
    <row r="19" spans="1:24" ht="98.25" customHeight="1" x14ac:dyDescent="0.25">
      <c r="A19" s="306"/>
      <c r="B19" s="188" t="s">
        <v>23</v>
      </c>
      <c r="C19" s="77">
        <v>4</v>
      </c>
      <c r="D19" s="54" t="s">
        <v>220</v>
      </c>
      <c r="E19" s="54"/>
      <c r="F19" s="228" t="s">
        <v>307</v>
      </c>
      <c r="G19" s="118" t="s">
        <v>306</v>
      </c>
      <c r="H19" s="54" t="s">
        <v>386</v>
      </c>
      <c r="I19" s="5" t="s">
        <v>255</v>
      </c>
      <c r="J19" s="5" t="s">
        <v>255</v>
      </c>
      <c r="K19" s="58" t="s">
        <v>301</v>
      </c>
      <c r="L19" s="118" t="s">
        <v>308</v>
      </c>
      <c r="M19" s="58"/>
      <c r="O19" s="161" t="s">
        <v>313</v>
      </c>
      <c r="P19" s="5" t="s">
        <v>392</v>
      </c>
      <c r="R19" s="58" t="s">
        <v>242</v>
      </c>
      <c r="S19" s="152" t="s">
        <v>212</v>
      </c>
      <c r="T19" s="120" t="s">
        <v>256</v>
      </c>
      <c r="U19" s="5" t="s">
        <v>228</v>
      </c>
      <c r="V19" s="320"/>
      <c r="W19" s="188" t="s">
        <v>23</v>
      </c>
      <c r="X19" s="79">
        <v>4</v>
      </c>
    </row>
    <row r="20" spans="1:24" ht="130.5" customHeight="1" thickBot="1" x14ac:dyDescent="0.3">
      <c r="A20" s="306"/>
      <c r="B20" s="188" t="s">
        <v>26</v>
      </c>
      <c r="C20" s="80">
        <v>5</v>
      </c>
      <c r="D20" s="118" t="s">
        <v>318</v>
      </c>
      <c r="E20" s="54"/>
      <c r="F20" s="55"/>
      <c r="G20" s="364" t="s">
        <v>228</v>
      </c>
      <c r="H20" s="363" t="s">
        <v>387</v>
      </c>
      <c r="I20" s="236"/>
      <c r="J20" s="235"/>
      <c r="K20" s="229" t="s">
        <v>301</v>
      </c>
      <c r="L20" s="162" t="s">
        <v>223</v>
      </c>
      <c r="M20" s="120"/>
      <c r="N20" s="235"/>
      <c r="O20" s="4"/>
      <c r="P20" s="5" t="s">
        <v>392</v>
      </c>
      <c r="Q20" s="118"/>
      <c r="R20" s="5" t="s">
        <v>316</v>
      </c>
      <c r="S20" s="4" t="s">
        <v>221</v>
      </c>
      <c r="T20" s="162"/>
      <c r="U20" s="54" t="s">
        <v>257</v>
      </c>
      <c r="V20" s="320"/>
      <c r="W20" s="81" t="s">
        <v>26</v>
      </c>
      <c r="X20" s="79">
        <v>5</v>
      </c>
    </row>
    <row r="21" spans="1:24" ht="90" customHeight="1" x14ac:dyDescent="0.25">
      <c r="A21" s="350" t="str">
        <f>'4к 9кл, 3к 11кл'!A21:A25</f>
        <v>Четверг 25.12.2025</v>
      </c>
      <c r="B21" s="75" t="s">
        <v>19</v>
      </c>
      <c r="C21" s="76">
        <v>1</v>
      </c>
      <c r="D21" s="196"/>
      <c r="E21" s="59"/>
      <c r="H21" s="59"/>
      <c r="I21" s="167" t="s">
        <v>229</v>
      </c>
      <c r="J21" s="219"/>
      <c r="K21" s="245" t="s">
        <v>408</v>
      </c>
      <c r="L21" s="58" t="s">
        <v>216</v>
      </c>
      <c r="M21" s="3" t="s">
        <v>220</v>
      </c>
      <c r="N21" s="58" t="s">
        <v>336</v>
      </c>
      <c r="O21" s="219"/>
      <c r="P21" s="5" t="s">
        <v>392</v>
      </c>
      <c r="Q21" s="196"/>
      <c r="R21" s="59"/>
      <c r="S21" s="3" t="s">
        <v>225</v>
      </c>
      <c r="U21" s="3" t="s">
        <v>259</v>
      </c>
      <c r="V21" s="346" t="str">
        <f>'4к 9кл, 3к 11кл'!A21:A25</f>
        <v>Четверг 25.12.2025</v>
      </c>
      <c r="W21" s="75" t="s">
        <v>19</v>
      </c>
      <c r="X21" s="79">
        <v>1</v>
      </c>
    </row>
    <row r="22" spans="1:24" ht="99.6" customHeight="1" x14ac:dyDescent="0.25">
      <c r="A22" s="306"/>
      <c r="B22" s="188" t="s">
        <v>21</v>
      </c>
      <c r="C22" s="77">
        <v>2</v>
      </c>
      <c r="D22" s="54" t="s">
        <v>222</v>
      </c>
      <c r="E22" s="54"/>
      <c r="F22" s="54" t="s">
        <v>237</v>
      </c>
      <c r="G22" s="54" t="s">
        <v>237</v>
      </c>
      <c r="H22" s="54"/>
      <c r="I22" s="5" t="s">
        <v>407</v>
      </c>
      <c r="J22" s="245" t="s">
        <v>407</v>
      </c>
      <c r="K22" s="58"/>
      <c r="L22" s="4" t="s">
        <v>251</v>
      </c>
      <c r="M22" s="58" t="s">
        <v>226</v>
      </c>
      <c r="O22" s="4" t="s">
        <v>244</v>
      </c>
      <c r="P22" s="5" t="s">
        <v>392</v>
      </c>
      <c r="Q22" s="4" t="s">
        <v>244</v>
      </c>
      <c r="R22" s="54" t="s">
        <v>257</v>
      </c>
      <c r="S22" s="245" t="s">
        <v>228</v>
      </c>
      <c r="T22" s="233"/>
      <c r="U22" s="4" t="s">
        <v>223</v>
      </c>
      <c r="V22" s="309"/>
      <c r="W22" s="188" t="s">
        <v>21</v>
      </c>
      <c r="X22" s="79">
        <v>2</v>
      </c>
    </row>
    <row r="23" spans="1:24" ht="83.25" customHeight="1" x14ac:dyDescent="0.25">
      <c r="A23" s="306"/>
      <c r="B23" s="188" t="s">
        <v>22</v>
      </c>
      <c r="C23" s="77">
        <v>3</v>
      </c>
      <c r="D23" s="118" t="s">
        <v>223</v>
      </c>
      <c r="E23" s="54"/>
      <c r="F23" s="54" t="s">
        <v>215</v>
      </c>
      <c r="G23" s="54" t="s">
        <v>215</v>
      </c>
      <c r="I23" s="245" t="s">
        <v>407</v>
      </c>
      <c r="J23" s="245" t="s">
        <v>407</v>
      </c>
      <c r="L23" s="58"/>
      <c r="N23" s="233"/>
      <c r="O23" s="178"/>
      <c r="P23" s="5" t="s">
        <v>392</v>
      </c>
      <c r="Q23" s="118" t="s">
        <v>223</v>
      </c>
      <c r="R23" s="54" t="s">
        <v>261</v>
      </c>
      <c r="S23" s="58" t="s">
        <v>262</v>
      </c>
      <c r="T23" s="118" t="s">
        <v>223</v>
      </c>
      <c r="U23" s="283" t="s">
        <v>263</v>
      </c>
      <c r="V23" s="309"/>
      <c r="W23" s="188" t="s">
        <v>22</v>
      </c>
      <c r="X23" s="79">
        <v>3</v>
      </c>
    </row>
    <row r="24" spans="1:24" ht="83.25" customHeight="1" x14ac:dyDescent="0.25">
      <c r="A24" s="306"/>
      <c r="B24" s="188" t="s">
        <v>23</v>
      </c>
      <c r="C24" s="77">
        <v>4</v>
      </c>
      <c r="D24" s="54" t="s">
        <v>264</v>
      </c>
      <c r="E24" s="54"/>
      <c r="F24" s="54" t="s">
        <v>219</v>
      </c>
      <c r="G24" s="54" t="s">
        <v>219</v>
      </c>
      <c r="H24" s="54"/>
      <c r="I24" s="58" t="s">
        <v>265</v>
      </c>
      <c r="J24" s="120" t="s">
        <v>265</v>
      </c>
      <c r="K24" s="233"/>
      <c r="L24" s="58"/>
      <c r="M24" s="58"/>
      <c r="N24" s="58"/>
      <c r="O24" s="54" t="s">
        <v>255</v>
      </c>
      <c r="P24" s="54" t="s">
        <v>255</v>
      </c>
      <c r="Q24" s="4"/>
      <c r="R24" s="58" t="s">
        <v>317</v>
      </c>
      <c r="S24" s="5" t="s">
        <v>370</v>
      </c>
      <c r="T24" s="54" t="s">
        <v>407</v>
      </c>
      <c r="U24" s="5" t="s">
        <v>261</v>
      </c>
      <c r="V24" s="309"/>
      <c r="W24" s="188" t="s">
        <v>23</v>
      </c>
      <c r="X24" s="79">
        <v>4</v>
      </c>
    </row>
    <row r="25" spans="1:24" ht="141.75" customHeight="1" thickBot="1" x14ac:dyDescent="0.3">
      <c r="A25" s="312"/>
      <c r="B25" s="81" t="s">
        <v>26</v>
      </c>
      <c r="C25" s="80">
        <v>5</v>
      </c>
      <c r="D25" s="54" t="s">
        <v>266</v>
      </c>
      <c r="E25" s="120"/>
      <c r="F25" s="54" t="s">
        <v>267</v>
      </c>
      <c r="G25" s="118" t="s">
        <v>267</v>
      </c>
      <c r="H25" s="120"/>
      <c r="I25" s="5" t="s">
        <v>223</v>
      </c>
      <c r="J25" s="229" t="s">
        <v>223</v>
      </c>
      <c r="K25" s="235"/>
      <c r="L25" s="58"/>
      <c r="N25" s="118"/>
      <c r="O25" s="120" t="s">
        <v>223</v>
      </c>
      <c r="P25" s="5" t="s">
        <v>223</v>
      </c>
      <c r="Q25" s="229"/>
      <c r="R25" s="120" t="s">
        <v>246</v>
      </c>
      <c r="S25" s="50" t="s">
        <v>370</v>
      </c>
      <c r="T25" s="54" t="s">
        <v>221</v>
      </c>
      <c r="U25" s="229" t="s">
        <v>242</v>
      </c>
      <c r="V25" s="310"/>
      <c r="W25" s="81" t="s">
        <v>26</v>
      </c>
      <c r="X25" s="79">
        <v>5</v>
      </c>
    </row>
    <row r="26" spans="1:24" ht="89.25" customHeight="1" x14ac:dyDescent="0.25">
      <c r="A26" s="347" t="str">
        <f>'4к 9кл, 3к 11кл'!A26:A30</f>
        <v>Пятница 26.12.2025</v>
      </c>
      <c r="B26" s="75" t="s">
        <v>19</v>
      </c>
      <c r="C26" s="76">
        <v>1</v>
      </c>
      <c r="D26" s="59"/>
      <c r="E26" s="219"/>
      <c r="F26" s="59" t="s">
        <v>228</v>
      </c>
      <c r="G26" s="3" t="s">
        <v>255</v>
      </c>
      <c r="H26" s="196"/>
      <c r="I26" s="119"/>
      <c r="J26" s="152" t="s">
        <v>240</v>
      </c>
      <c r="K26" s="219"/>
      <c r="L26" s="119"/>
      <c r="M26" s="3" t="s">
        <v>370</v>
      </c>
      <c r="N26" s="59"/>
      <c r="O26" s="152"/>
      <c r="P26" s="196"/>
      <c r="R26" s="152" t="s">
        <v>212</v>
      </c>
      <c r="T26" s="152" t="s">
        <v>241</v>
      </c>
      <c r="U26" s="219"/>
      <c r="V26" s="348" t="str">
        <f>'4к 9кл, 3к 11кл'!A26:A30</f>
        <v>Пятница 26.12.2025</v>
      </c>
      <c r="W26" s="75" t="s">
        <v>19</v>
      </c>
      <c r="X26" s="79">
        <v>1</v>
      </c>
    </row>
    <row r="27" spans="1:24" ht="118.5" customHeight="1" x14ac:dyDescent="0.25">
      <c r="A27" s="306"/>
      <c r="B27" s="188" t="s">
        <v>21</v>
      </c>
      <c r="C27" s="170">
        <v>2</v>
      </c>
      <c r="D27" s="118" t="s">
        <v>216</v>
      </c>
      <c r="E27" s="54"/>
      <c r="F27" s="54"/>
      <c r="G27" s="279" t="s">
        <v>255</v>
      </c>
      <c r="H27" s="5"/>
      <c r="I27" s="118"/>
      <c r="J27" s="4" t="s">
        <v>262</v>
      </c>
      <c r="K27" s="121"/>
      <c r="L27" s="120" t="s">
        <v>414</v>
      </c>
      <c r="M27" s="228" t="s">
        <v>370</v>
      </c>
      <c r="N27" s="5"/>
      <c r="O27" s="5" t="s">
        <v>224</v>
      </c>
      <c r="P27" s="5"/>
      <c r="Q27" s="54"/>
      <c r="R27" s="118" t="s">
        <v>212</v>
      </c>
      <c r="T27" s="54" t="s">
        <v>258</v>
      </c>
      <c r="V27" s="320"/>
      <c r="W27" s="188" t="s">
        <v>21</v>
      </c>
      <c r="X27" s="79">
        <v>2</v>
      </c>
    </row>
    <row r="28" spans="1:24" ht="103.5" customHeight="1" x14ac:dyDescent="0.25">
      <c r="A28" s="306"/>
      <c r="B28" s="188" t="s">
        <v>22</v>
      </c>
      <c r="C28" s="170">
        <v>3</v>
      </c>
      <c r="D28" s="54" t="s">
        <v>217</v>
      </c>
      <c r="E28" s="54"/>
      <c r="F28" s="54"/>
      <c r="G28" s="5" t="s">
        <v>255</v>
      </c>
      <c r="H28" s="5"/>
      <c r="I28" s="4" t="s">
        <v>268</v>
      </c>
      <c r="J28" s="118" t="s">
        <v>211</v>
      </c>
      <c r="K28" s="58"/>
      <c r="L28" s="58"/>
      <c r="M28" s="228" t="s">
        <v>370</v>
      </c>
      <c r="N28" s="4" t="s">
        <v>268</v>
      </c>
      <c r="O28" s="5"/>
      <c r="P28" s="5"/>
      <c r="Q28" s="54" t="s">
        <v>217</v>
      </c>
      <c r="R28" s="118" t="s">
        <v>221</v>
      </c>
      <c r="S28" s="121"/>
      <c r="T28" s="54" t="s">
        <v>277</v>
      </c>
      <c r="U28" s="50" t="s">
        <v>213</v>
      </c>
      <c r="V28" s="320"/>
      <c r="W28" s="188" t="s">
        <v>22</v>
      </c>
      <c r="X28" s="79">
        <v>3</v>
      </c>
    </row>
    <row r="29" spans="1:24" ht="80.25" customHeight="1" x14ac:dyDescent="0.25">
      <c r="A29" s="306"/>
      <c r="B29" s="188" t="s">
        <v>23</v>
      </c>
      <c r="C29" s="77">
        <v>4</v>
      </c>
      <c r="D29" s="118" t="s">
        <v>222</v>
      </c>
      <c r="E29" s="54"/>
      <c r="F29" s="54"/>
      <c r="G29" s="5" t="s">
        <v>223</v>
      </c>
      <c r="H29" s="54"/>
      <c r="I29" s="4" t="s">
        <v>269</v>
      </c>
      <c r="J29" s="118" t="s">
        <v>216</v>
      </c>
      <c r="K29" s="58"/>
      <c r="L29" s="58"/>
      <c r="N29" s="4" t="s">
        <v>261</v>
      </c>
      <c r="O29" s="54"/>
      <c r="P29" s="233"/>
      <c r="Q29" s="118" t="s">
        <v>222</v>
      </c>
      <c r="R29" s="54" t="s">
        <v>208</v>
      </c>
      <c r="S29" s="5" t="s">
        <v>370</v>
      </c>
      <c r="T29" s="58"/>
      <c r="U29" s="50" t="s">
        <v>213</v>
      </c>
      <c r="V29" s="320"/>
      <c r="W29" s="188" t="s">
        <v>23</v>
      </c>
      <c r="X29" s="79">
        <v>4</v>
      </c>
    </row>
    <row r="30" spans="1:24" ht="117" customHeight="1" thickBot="1" x14ac:dyDescent="0.3">
      <c r="A30" s="306"/>
      <c r="B30" s="81" t="s">
        <v>26</v>
      </c>
      <c r="C30" s="80">
        <v>5</v>
      </c>
      <c r="D30" s="165" t="s">
        <v>270</v>
      </c>
      <c r="E30" s="120"/>
      <c r="F30" s="54"/>
      <c r="G30" s="54"/>
      <c r="H30" s="120"/>
      <c r="I30" s="58" t="s">
        <v>276</v>
      </c>
      <c r="J30" s="229" t="s">
        <v>276</v>
      </c>
      <c r="K30" s="235"/>
      <c r="L30" s="120"/>
      <c r="M30" s="120"/>
      <c r="N30" s="120"/>
      <c r="O30" s="50"/>
      <c r="P30" s="235"/>
      <c r="Q30" s="165" t="s">
        <v>270</v>
      </c>
      <c r="R30" s="118"/>
      <c r="S30" s="50" t="s">
        <v>370</v>
      </c>
      <c r="T30" s="118"/>
      <c r="U30" s="5" t="s">
        <v>224</v>
      </c>
      <c r="V30" s="320"/>
      <c r="W30" s="81" t="s">
        <v>26</v>
      </c>
      <c r="X30" s="79">
        <v>5</v>
      </c>
    </row>
    <row r="31" spans="1:24" ht="75" customHeight="1" x14ac:dyDescent="0.25">
      <c r="A31" s="350" t="str">
        <f>'4к 9кл, 3к 11кл'!A31:A35</f>
        <v>Суббота 27.12.2025</v>
      </c>
      <c r="B31" s="75" t="s">
        <v>19</v>
      </c>
      <c r="C31" s="76">
        <v>1</v>
      </c>
      <c r="D31" s="152"/>
      <c r="E31" s="152"/>
      <c r="F31" s="152"/>
      <c r="G31" s="152"/>
      <c r="H31" s="152"/>
      <c r="I31" s="149" t="s">
        <v>253</v>
      </c>
      <c r="J31" s="245"/>
      <c r="L31" s="152"/>
      <c r="M31" s="152"/>
      <c r="N31" s="149" t="s">
        <v>253</v>
      </c>
      <c r="O31" s="152"/>
      <c r="P31" s="228" t="s">
        <v>390</v>
      </c>
      <c r="Q31" s="152"/>
      <c r="R31" s="152"/>
      <c r="S31" s="3" t="s">
        <v>255</v>
      </c>
      <c r="T31" s="167"/>
      <c r="U31" s="152"/>
      <c r="V31" s="346" t="str">
        <f>'4к 9кл, 3к 11кл'!A31:A35</f>
        <v>Суббота 27.12.2025</v>
      </c>
      <c r="W31" s="75" t="s">
        <v>19</v>
      </c>
      <c r="X31" s="79">
        <v>1</v>
      </c>
    </row>
    <row r="32" spans="1:24" ht="83.25" customHeight="1" x14ac:dyDescent="0.25">
      <c r="A32" s="306"/>
      <c r="B32" s="188" t="s">
        <v>21</v>
      </c>
      <c r="C32" s="77">
        <v>2</v>
      </c>
      <c r="D32" s="4"/>
      <c r="E32" s="4"/>
      <c r="F32" s="4"/>
      <c r="G32" s="4"/>
      <c r="H32" s="4"/>
      <c r="I32" s="227" t="s">
        <v>242</v>
      </c>
      <c r="J32" s="5" t="s">
        <v>271</v>
      </c>
      <c r="K32" s="4"/>
      <c r="L32" s="4"/>
      <c r="M32" s="50" t="s">
        <v>391</v>
      </c>
      <c r="N32" s="227" t="s">
        <v>242</v>
      </c>
      <c r="O32" s="4"/>
      <c r="P32" s="5"/>
      <c r="Q32" s="4"/>
      <c r="R32" s="4"/>
      <c r="S32" s="50" t="s">
        <v>223</v>
      </c>
      <c r="T32" s="4"/>
      <c r="U32" s="4"/>
      <c r="V32" s="309"/>
      <c r="W32" s="188" t="s">
        <v>21</v>
      </c>
      <c r="X32" s="79">
        <v>2</v>
      </c>
    </row>
    <row r="33" spans="1:24" ht="83.25" customHeight="1" x14ac:dyDescent="0.25">
      <c r="A33" s="306"/>
      <c r="B33" s="188" t="s">
        <v>22</v>
      </c>
      <c r="C33" s="77">
        <v>3</v>
      </c>
      <c r="D33" s="4"/>
      <c r="E33" s="4"/>
      <c r="F33" s="4"/>
      <c r="G33" s="4"/>
      <c r="H33" s="4"/>
      <c r="I33" s="279"/>
      <c r="J33" s="279"/>
      <c r="K33" s="4"/>
      <c r="L33" s="58"/>
      <c r="M33" s="5" t="s">
        <v>223</v>
      </c>
      <c r="N33" s="4"/>
      <c r="O33" s="4"/>
      <c r="P33" s="4"/>
      <c r="Q33" s="5"/>
      <c r="R33" s="5"/>
      <c r="S33" s="50" t="s">
        <v>391</v>
      </c>
      <c r="T33" s="5"/>
      <c r="U33" s="4"/>
      <c r="V33" s="309"/>
      <c r="W33" s="188" t="s">
        <v>22</v>
      </c>
      <c r="X33" s="79">
        <v>3</v>
      </c>
    </row>
    <row r="34" spans="1:24" ht="83.25" customHeight="1" x14ac:dyDescent="0.25">
      <c r="A34" s="306"/>
      <c r="B34" s="188" t="s">
        <v>23</v>
      </c>
      <c r="C34" s="77">
        <v>4</v>
      </c>
      <c r="D34" s="4"/>
      <c r="E34" s="4"/>
      <c r="F34" s="4"/>
      <c r="G34" s="4"/>
      <c r="H34" s="4"/>
      <c r="I34" s="5"/>
      <c r="J34" s="5"/>
      <c r="K34" s="165"/>
      <c r="L34" s="58"/>
      <c r="M34" s="58"/>
      <c r="N34" s="4"/>
      <c r="O34" s="4"/>
      <c r="P34" s="4"/>
      <c r="Q34" s="5"/>
      <c r="R34" s="5"/>
      <c r="S34" s="5"/>
      <c r="T34" s="5"/>
      <c r="U34" s="5"/>
      <c r="V34" s="309"/>
      <c r="W34" s="188" t="s">
        <v>23</v>
      </c>
      <c r="X34" s="79">
        <v>4</v>
      </c>
    </row>
    <row r="35" spans="1:24" ht="84" customHeight="1" thickBot="1" x14ac:dyDescent="0.3">
      <c r="A35" s="312"/>
      <c r="B35" s="81" t="s">
        <v>26</v>
      </c>
      <c r="C35" s="80">
        <v>5</v>
      </c>
      <c r="E35" s="165"/>
      <c r="F35" s="165"/>
      <c r="G35" s="165"/>
      <c r="H35" s="165"/>
      <c r="I35" s="288"/>
      <c r="J35" s="289"/>
      <c r="K35" s="162"/>
      <c r="L35" s="165"/>
      <c r="M35" s="165"/>
      <c r="N35" s="165"/>
      <c r="O35" s="165"/>
      <c r="P35" s="162"/>
      <c r="Q35" s="162"/>
      <c r="R35" s="162"/>
      <c r="S35" s="162"/>
      <c r="T35" s="162"/>
      <c r="U35" s="162"/>
      <c r="V35" s="310"/>
      <c r="W35" s="81" t="s">
        <v>26</v>
      </c>
      <c r="X35" s="155">
        <v>5</v>
      </c>
    </row>
    <row r="36" spans="1:24" x14ac:dyDescent="0.25">
      <c r="A36" s="171"/>
      <c r="B36" s="163"/>
      <c r="C36" s="164"/>
      <c r="D36" s="177"/>
      <c r="E36" s="177"/>
      <c r="F36" s="177"/>
      <c r="G36" s="177"/>
      <c r="H36" s="177"/>
      <c r="I36" s="178"/>
      <c r="J36" s="177"/>
      <c r="K36" s="177"/>
      <c r="L36" s="177"/>
      <c r="M36" s="177"/>
      <c r="N36" s="177"/>
      <c r="O36" s="177"/>
      <c r="P36" s="178"/>
      <c r="Q36" s="178"/>
      <c r="R36" s="178"/>
      <c r="S36" s="178"/>
      <c r="T36" s="178"/>
      <c r="U36" s="179"/>
      <c r="W36" s="163"/>
      <c r="X36" s="163"/>
    </row>
  </sheetData>
  <mergeCells count="19">
    <mergeCell ref="X1:X4"/>
    <mergeCell ref="A6:A10"/>
    <mergeCell ref="A16:A20"/>
    <mergeCell ref="V6:V10"/>
    <mergeCell ref="V31:V35"/>
    <mergeCell ref="A26:A30"/>
    <mergeCell ref="V26:V30"/>
    <mergeCell ref="V16:V20"/>
    <mergeCell ref="W1:W4"/>
    <mergeCell ref="B1:B4"/>
    <mergeCell ref="A21:A25"/>
    <mergeCell ref="V11:V15"/>
    <mergeCell ref="A1:A4"/>
    <mergeCell ref="C1:C4"/>
    <mergeCell ref="V1:V4"/>
    <mergeCell ref="A31:A35"/>
    <mergeCell ref="V21:V25"/>
    <mergeCell ref="D5:U5"/>
    <mergeCell ref="A11:A1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4к 9кл, 3к 11кл</vt:lpstr>
      <vt:lpstr>3к 9кл, 2к 11кл</vt:lpstr>
      <vt:lpstr>2к 9кл, 1к 11 кл</vt:lpstr>
      <vt:lpstr>1к 11кл</vt:lpstr>
      <vt:lpstr>1к 9кл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Андрианова Наталия Павловна</cp:lastModifiedBy>
  <dcterms:created xsi:type="dcterms:W3CDTF">2006-09-16T00:00:00Z</dcterms:created>
  <dcterms:modified xsi:type="dcterms:W3CDTF">2025-12-19T13:59:56Z</dcterms:modified>
</cp:coreProperties>
</file>